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p/Documents/local-git/wolf_clusters/4-Analysis/results/"/>
    </mc:Choice>
  </mc:AlternateContent>
  <xr:revisionPtr revIDLastSave="0" documentId="13_ncr:1_{76CF4093-4C2B-6C45-9DE0-EF4F8A32071D}" xr6:coauthVersionLast="47" xr6:coauthVersionMax="47" xr10:uidLastSave="{00000000-0000-0000-0000-000000000000}"/>
  <bookViews>
    <workbookView xWindow="160" yWindow="840" windowWidth="19780" windowHeight="15580" xr2:uid="{76585D50-6560-D34A-B236-1EC249E04AC4}"/>
  </bookViews>
  <sheets>
    <sheet name="Table S2" sheetId="1" r:id="rId1"/>
    <sheet name="Table 1" sheetId="2" r:id="rId2"/>
  </sheets>
  <definedNames>
    <definedName name="_xlnm._FilterDatabase" localSheetId="1" hidden="1">'Table 1'!$A$1:$AN$21</definedName>
    <definedName name="_xlnm._FilterDatabase" localSheetId="0" hidden="1">'Table S2'!$A$1:$AU$24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Q2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3" i="1"/>
  <c r="AR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" i="2"/>
  <c r="AA17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8" i="2"/>
  <c r="AA19" i="2"/>
  <c r="AA20" i="2"/>
  <c r="AA21" i="2"/>
  <c r="AA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  <c r="AU13" i="1"/>
  <c r="AU14" i="1"/>
  <c r="AU15" i="1"/>
  <c r="AU16" i="1"/>
  <c r="AU17" i="1"/>
  <c r="AU18" i="1"/>
  <c r="AU19" i="1"/>
  <c r="AU20" i="1"/>
  <c r="AU21" i="1"/>
  <c r="AU22" i="1"/>
  <c r="AU23" i="1"/>
  <c r="AU24" i="1"/>
  <c r="AU3" i="1"/>
  <c r="AU4" i="1"/>
  <c r="AU5" i="1"/>
  <c r="AU6" i="1"/>
  <c r="AU7" i="1"/>
  <c r="AU8" i="1"/>
  <c r="AU9" i="1"/>
  <c r="AU10" i="1"/>
  <c r="AU11" i="1"/>
  <c r="AU12" i="1"/>
  <c r="AU2" i="1"/>
</calcChain>
</file>

<file path=xl/sharedStrings.xml><?xml version="1.0" encoding="utf-8"?>
<sst xmlns="http://schemas.openxmlformats.org/spreadsheetml/2006/main" count="173" uniqueCount="70">
  <si>
    <t>Behav</t>
  </si>
  <si>
    <t>days.med</t>
  </si>
  <si>
    <t>days.mean</t>
  </si>
  <si>
    <t>days.min</t>
  </si>
  <si>
    <t>days.max</t>
  </si>
  <si>
    <t>days.sd</t>
  </si>
  <si>
    <t>fix.med</t>
  </si>
  <si>
    <t>fix.mean</t>
  </si>
  <si>
    <t>fix.min</t>
  </si>
  <si>
    <t>fix.max</t>
  </si>
  <si>
    <t>fix.sd</t>
  </si>
  <si>
    <t>hr.med</t>
  </si>
  <si>
    <t>hr.mean</t>
  </si>
  <si>
    <t>hr.min</t>
  </si>
  <si>
    <t>hr.max</t>
  </si>
  <si>
    <t>hr.sd</t>
  </si>
  <si>
    <t>rad.med</t>
  </si>
  <si>
    <t>rad.mean</t>
  </si>
  <si>
    <t>rad.min</t>
  </si>
  <si>
    <t>rad.max</t>
  </si>
  <si>
    <t>rad.sd</t>
  </si>
  <si>
    <t>rev.med</t>
  </si>
  <si>
    <t>rev.mean</t>
  </si>
  <si>
    <t>rev.min</t>
  </si>
  <si>
    <t>rev.max</t>
  </si>
  <si>
    <t>rev.sd</t>
  </si>
  <si>
    <t>away.med</t>
  </si>
  <si>
    <t>away.mean</t>
  </si>
  <si>
    <t>away.min</t>
  </si>
  <si>
    <t>away.max</t>
  </si>
  <si>
    <t>away.sd</t>
  </si>
  <si>
    <t>count</t>
  </si>
  <si>
    <t>percent</t>
  </si>
  <si>
    <t>Moose Kill</t>
  </si>
  <si>
    <t>Other</t>
  </si>
  <si>
    <t>Revisit</t>
  </si>
  <si>
    <t>Resting</t>
  </si>
  <si>
    <t>Scavenge</t>
  </si>
  <si>
    <t>Probable Kill</t>
  </si>
  <si>
    <t>Calf Kill</t>
  </si>
  <si>
    <t>Beaver Kill</t>
  </si>
  <si>
    <t>Deer Kill</t>
  </si>
  <si>
    <t>Den</t>
  </si>
  <si>
    <t>Rendez-vous</t>
  </si>
  <si>
    <t>Duration</t>
  </si>
  <si>
    <t>Locations</t>
  </si>
  <si>
    <t>Percent</t>
  </si>
  <si>
    <t>Radius</t>
  </si>
  <si>
    <t>Revisits</t>
  </si>
  <si>
    <t>Away</t>
  </si>
  <si>
    <t>Investigation</t>
  </si>
  <si>
    <t>StudyArea</t>
  </si>
  <si>
    <t>SEMB</t>
  </si>
  <si>
    <t>RMNP</t>
  </si>
  <si>
    <t>Elk Kill</t>
  </si>
  <si>
    <t>Behaviour_1</t>
  </si>
  <si>
    <t>Kill</t>
  </si>
  <si>
    <t>Unknown</t>
  </si>
  <si>
    <t>Probable kill</t>
  </si>
  <si>
    <t>Probable prey encounter</t>
  </si>
  <si>
    <t>Scat</t>
  </si>
  <si>
    <t>Probable resting</t>
  </si>
  <si>
    <t>Probable scavenge</t>
  </si>
  <si>
    <t>NA</t>
  </si>
  <si>
    <t>Scavenging</t>
  </si>
  <si>
    <t>Study Area</t>
  </si>
  <si>
    <t>Pecent</t>
  </si>
  <si>
    <t>hr.iqr</t>
  </si>
  <si>
    <t>rad.iqr</t>
  </si>
  <si>
    <t>Duration (range)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</si>
</sst>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719F-986C-824C-9B49-FEA07311A1CF}">
  <dimension ref="A1:AU24"/>
  <sheetViews>
    <sheetView tabSelected="1" topLeftCell="E1" workbookViewId="0">
      <selection activeCell="I3" sqref="I3"/>
    </sheetView>
  </sheetViews>
  <sheetFormatPr baseColWidth="10" defaultRowHeight="16" x14ac:dyDescent="0.2"/>
  <cols>
    <col min="1" max="1" width="16" customWidth="1"/>
  </cols>
  <sheetData>
    <row r="1" spans="1:47" x14ac:dyDescent="0.2">
      <c r="A1" t="s">
        <v>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s="1" t="s">
        <v>50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P1" s="1" t="s">
        <v>45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W1" s="1" t="s">
        <v>44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D1" s="1" t="s">
        <v>47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K1" s="2" t="s">
        <v>48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R1" s="2" t="s">
        <v>49</v>
      </c>
      <c r="AS1" t="s">
        <v>31</v>
      </c>
      <c r="AT1" t="s">
        <v>32</v>
      </c>
      <c r="AU1" s="1" t="s">
        <v>46</v>
      </c>
    </row>
    <row r="2" spans="1:47" x14ac:dyDescent="0.2">
      <c r="A2" t="s">
        <v>52</v>
      </c>
      <c r="B2" t="s">
        <v>33</v>
      </c>
      <c r="C2">
        <v>-28</v>
      </c>
      <c r="D2">
        <v>-37.432926829268297</v>
      </c>
      <c r="E2">
        <v>-173</v>
      </c>
      <c r="F2">
        <v>0</v>
      </c>
      <c r="G2">
        <v>35.558149229919003</v>
      </c>
      <c r="H2" s="1" t="str">
        <f>_xlfn.CONCAT(ROUND(C2,1)," [", ROUND(E2,1),", ",ROUND(F2,1),"]")</f>
        <v>-28 [-173, 0]</v>
      </c>
      <c r="I2" s="1" t="str">
        <f>_xlfn.CONCAT(ROUND(C2,1)," +/-", ROUND(G2,1))</f>
        <v>-28 +/-35.6</v>
      </c>
      <c r="J2">
        <v>22</v>
      </c>
      <c r="K2">
        <v>31.396341463414601</v>
      </c>
      <c r="L2">
        <v>2</v>
      </c>
      <c r="M2">
        <v>178</v>
      </c>
      <c r="N2">
        <v>28.987540988246401</v>
      </c>
      <c r="O2" s="1" t="str">
        <f>_xlfn.CONCAT(ROUND(J2,1)," [", ROUND(L2,1),", ",ROUND(M2,1),"]")</f>
        <v>22 [2, 178]</v>
      </c>
      <c r="P2" s="1" t="str">
        <f>_xlfn.CONCAT(ROUND(J2,1)," +/-", ROUND(N2,1))</f>
        <v>22 +/-29</v>
      </c>
      <c r="Q2">
        <v>92</v>
      </c>
      <c r="R2">
        <v>126.997115853659</v>
      </c>
      <c r="S2">
        <v>4</v>
      </c>
      <c r="T2">
        <v>674</v>
      </c>
      <c r="U2">
        <v>120.47175396316401</v>
      </c>
      <c r="V2" s="1" t="str">
        <f>_xlfn.CONCAT(ROUND(Q2,1)," [", ROUND(S2,1),", ",ROUND(T2,1),"]")</f>
        <v>92 [4, 674]</v>
      </c>
      <c r="W2" s="1" t="str">
        <f>_xlfn.CONCAT(ROUND(Q2,1)," +/-", ROUND(U2,1))</f>
        <v>92 +/-120.5</v>
      </c>
      <c r="X2">
        <v>247</v>
      </c>
      <c r="Y2">
        <v>238.77439024390199</v>
      </c>
      <c r="Z2">
        <v>12</v>
      </c>
      <c r="AA2">
        <v>479</v>
      </c>
      <c r="AB2">
        <v>102.533090646581</v>
      </c>
      <c r="AC2" s="1" t="str">
        <f>_xlfn.CONCAT(ROUND(X2,1)," [", ROUND(Z2,1),", ",ROUND(AA2,1),"]")</f>
        <v>247 [12, 479]</v>
      </c>
      <c r="AD2" s="1" t="str">
        <f>_xlfn.CONCAT(ROUND(X2,1)," +/-", ROUND(AB2,1))</f>
        <v>247 +/-102.5</v>
      </c>
      <c r="AE2">
        <v>3</v>
      </c>
      <c r="AF2">
        <v>3.73780487804878</v>
      </c>
      <c r="AG2">
        <v>0</v>
      </c>
      <c r="AH2">
        <v>17</v>
      </c>
      <c r="AI2">
        <v>3.5305203997402699</v>
      </c>
      <c r="AJ2" s="1" t="str">
        <f>_xlfn.CONCAT(ROUND(AE2,1)," [", ROUND(AG2,1),", ",ROUND(AH2,1),"]")</f>
        <v>3 [0, 17]</v>
      </c>
      <c r="AK2" s="1" t="str">
        <f>_xlfn.CONCAT(ROUND(AE2,1)," +/-", ROUND(AI2,1))</f>
        <v>3 +/-3.5</v>
      </c>
      <c r="AL2">
        <v>0.421472937000887</v>
      </c>
      <c r="AM2">
        <v>0.416631617335534</v>
      </c>
      <c r="AN2">
        <v>0</v>
      </c>
      <c r="AO2">
        <v>0.94444444444444398</v>
      </c>
      <c r="AP2">
        <v>0.26973869030013897</v>
      </c>
      <c r="AQ2" s="1" t="str">
        <f>_xlfn.CONCAT(ROUND(AL2,1)," [", ROUND(AN2,1),", ",ROUND(AO2,1),"]")</f>
        <v>0.4 [0, 0.9]</v>
      </c>
      <c r="AR2" s="1" t="str">
        <f>_xlfn.CONCAT(ROUND(AL2,1)," +/-", ROUND(AP2,1))</f>
        <v>0.4 +/-0.3</v>
      </c>
      <c r="AS2">
        <v>164</v>
      </c>
      <c r="AT2">
        <v>8.6452293094359494</v>
      </c>
      <c r="AU2" s="1">
        <f>ROUND(AT2,2)</f>
        <v>8.65</v>
      </c>
    </row>
    <row r="3" spans="1:47" x14ac:dyDescent="0.2">
      <c r="A3" t="s">
        <v>52</v>
      </c>
      <c r="B3" t="s">
        <v>34</v>
      </c>
      <c r="C3">
        <v>-21</v>
      </c>
      <c r="D3">
        <v>-25.280769230769199</v>
      </c>
      <c r="E3">
        <v>-156</v>
      </c>
      <c r="F3">
        <v>7</v>
      </c>
      <c r="G3">
        <v>23.3637100909284</v>
      </c>
      <c r="H3" s="1" t="str">
        <f t="shared" ref="H3:H24" si="0">_xlfn.CONCAT(ROUND(C3,1)," [", ROUND(E3,1),", ",ROUND(F3,1),"]")</f>
        <v>-21 [-156, 7]</v>
      </c>
      <c r="I3" s="1" t="str">
        <f t="shared" ref="I3:I24" si="1">_xlfn.CONCAT(ROUND(C3,1)," +/-", ROUND(G3,1))</f>
        <v>-21 +/-23.4</v>
      </c>
      <c r="J3">
        <v>5</v>
      </c>
      <c r="K3">
        <v>8.5307692307692307</v>
      </c>
      <c r="L3">
        <v>2</v>
      </c>
      <c r="M3">
        <v>67</v>
      </c>
      <c r="N3">
        <v>9.5579423493899505</v>
      </c>
      <c r="O3" s="1" t="str">
        <f t="shared" ref="O3:O24" si="2">_xlfn.CONCAT(ROUND(J3,1)," [", ROUND(L3,1),", ",ROUND(M3,1),"]")</f>
        <v>5 [2, 67]</v>
      </c>
      <c r="P3" s="1" t="str">
        <f t="shared" ref="P3:P24" si="3">_xlfn.CONCAT(ROUND(J3,1)," +/-", ROUND(N3,1))</f>
        <v>5 +/-9.6</v>
      </c>
      <c r="Q3">
        <v>32</v>
      </c>
      <c r="R3">
        <v>55.388346923076902</v>
      </c>
      <c r="S3">
        <v>1.5</v>
      </c>
      <c r="T3">
        <v>450</v>
      </c>
      <c r="U3">
        <v>68.375501101962101</v>
      </c>
      <c r="V3" s="1" t="str">
        <f t="shared" ref="V3:V24" si="4">_xlfn.CONCAT(ROUND(Q3,1)," [", ROUND(S3,1),", ",ROUND(T3,1),"]")</f>
        <v>32 [1.5, 450]</v>
      </c>
      <c r="W3" s="1" t="str">
        <f t="shared" ref="W3:W24" si="5">_xlfn.CONCAT(ROUND(Q3,1)," +/-", ROUND(U3,1))</f>
        <v>32 +/-68.4</v>
      </c>
      <c r="X3">
        <v>145.5</v>
      </c>
      <c r="Y3">
        <v>155.93076923076899</v>
      </c>
      <c r="Z3">
        <v>3</v>
      </c>
      <c r="AA3">
        <v>474</v>
      </c>
      <c r="AB3">
        <v>108.788675346177</v>
      </c>
      <c r="AC3" s="1" t="str">
        <f t="shared" ref="AC3:AC24" si="6">_xlfn.CONCAT(ROUND(X3,1)," [", ROUND(Z3,1),", ",ROUND(AA3,1),"]")</f>
        <v>145.5 [3, 474]</v>
      </c>
      <c r="AD3" s="1" t="str">
        <f t="shared" ref="AD3:AD24" si="7">_xlfn.CONCAT(ROUND(X3,1)," +/-", ROUND(AB3,1))</f>
        <v>145.5 +/-108.8</v>
      </c>
      <c r="AE3">
        <v>1</v>
      </c>
      <c r="AF3">
        <v>1.4576923076923101</v>
      </c>
      <c r="AG3">
        <v>0</v>
      </c>
      <c r="AH3">
        <v>17</v>
      </c>
      <c r="AI3">
        <v>2.23047912454637</v>
      </c>
      <c r="AJ3" s="1" t="str">
        <f t="shared" ref="AJ3:AJ24" si="8">_xlfn.CONCAT(ROUND(AE3,1)," [", ROUND(AG3,1),", ",ROUND(AH3,1),"]")</f>
        <v>1 [0, 17]</v>
      </c>
      <c r="AK3" s="1" t="str">
        <f t="shared" ref="AK3:AK24" si="9">_xlfn.CONCAT(ROUND(AE3,1)," +/-", ROUND(AI3,1))</f>
        <v>1 +/-2.2</v>
      </c>
      <c r="AL3">
        <v>0.45903010033444802</v>
      </c>
      <c r="AM3">
        <v>0.419933801812023</v>
      </c>
      <c r="AN3">
        <v>0</v>
      </c>
      <c r="AO3">
        <v>0.95833333333333304</v>
      </c>
      <c r="AP3">
        <v>0.37985661081948802</v>
      </c>
      <c r="AQ3" s="1" t="str">
        <f>_xlfn.CONCAT(ROUND(AL3,1)," [", ROUND(AN3,1),", ",ROUND(AO3,1),"]")</f>
        <v>0.5 [0, 1]</v>
      </c>
      <c r="AR3" s="1" t="str">
        <f t="shared" ref="AR3:AR24" si="10">_xlfn.CONCAT(ROUND(AL3,1)," +/-", ROUND(AP3,1))</f>
        <v>0.5 +/-0.4</v>
      </c>
      <c r="AS3">
        <v>260</v>
      </c>
      <c r="AT3">
        <v>13.7058513442277</v>
      </c>
      <c r="AU3" s="1">
        <f t="shared" ref="AU3:AU24" si="11">ROUND(AT3,2)</f>
        <v>13.71</v>
      </c>
    </row>
    <row r="4" spans="1:47" x14ac:dyDescent="0.2">
      <c r="A4" t="s">
        <v>52</v>
      </c>
      <c r="B4" t="s">
        <v>35</v>
      </c>
      <c r="C4">
        <v>-8</v>
      </c>
      <c r="D4">
        <v>-15.287735849056601</v>
      </c>
      <c r="E4">
        <v>-133</v>
      </c>
      <c r="F4">
        <v>96</v>
      </c>
      <c r="G4">
        <v>39.519834129662698</v>
      </c>
      <c r="H4" s="1" t="str">
        <f t="shared" si="0"/>
        <v>-8 [-133, 96]</v>
      </c>
      <c r="I4" s="1" t="str">
        <f t="shared" si="1"/>
        <v>-8 +/-39.5</v>
      </c>
      <c r="J4">
        <v>6</v>
      </c>
      <c r="K4">
        <v>8.9339622641509404</v>
      </c>
      <c r="L4">
        <v>2</v>
      </c>
      <c r="M4">
        <v>72</v>
      </c>
      <c r="N4">
        <v>9.8064384188666605</v>
      </c>
      <c r="O4" s="1" t="str">
        <f t="shared" si="2"/>
        <v>6 [2, 72]</v>
      </c>
      <c r="P4" s="1" t="str">
        <f t="shared" si="3"/>
        <v>6 +/-9.8</v>
      </c>
      <c r="Q4">
        <v>16.5</v>
      </c>
      <c r="R4">
        <v>44.895659433962301</v>
      </c>
      <c r="S4">
        <v>1.5</v>
      </c>
      <c r="T4">
        <v>480</v>
      </c>
      <c r="U4">
        <v>67.884847356812799</v>
      </c>
      <c r="V4" s="1" t="str">
        <f t="shared" si="4"/>
        <v>16.5 [1.5, 480]</v>
      </c>
      <c r="W4" s="1" t="str">
        <f t="shared" si="5"/>
        <v>16.5 +/-67.9</v>
      </c>
      <c r="X4">
        <v>140</v>
      </c>
      <c r="Y4">
        <v>152.61320754716999</v>
      </c>
      <c r="Z4">
        <v>1</v>
      </c>
      <c r="AA4">
        <v>451</v>
      </c>
      <c r="AB4">
        <v>92.773440670960795</v>
      </c>
      <c r="AC4" s="1" t="str">
        <f t="shared" si="6"/>
        <v>140 [1, 451]</v>
      </c>
      <c r="AD4" s="1" t="str">
        <f t="shared" si="7"/>
        <v>140 +/-92.8</v>
      </c>
      <c r="AE4">
        <v>0</v>
      </c>
      <c r="AF4">
        <v>1.0094339622641499</v>
      </c>
      <c r="AG4">
        <v>0</v>
      </c>
      <c r="AH4">
        <v>16</v>
      </c>
      <c r="AI4">
        <v>1.8472230112897301</v>
      </c>
      <c r="AJ4" s="1" t="str">
        <f t="shared" si="8"/>
        <v>0 [0, 16]</v>
      </c>
      <c r="AK4" s="1" t="str">
        <f t="shared" si="9"/>
        <v>0 +/-1.8</v>
      </c>
      <c r="AL4">
        <v>0</v>
      </c>
      <c r="AM4">
        <v>0.28460030876675002</v>
      </c>
      <c r="AN4">
        <v>0</v>
      </c>
      <c r="AO4">
        <v>0.96226415094339601</v>
      </c>
      <c r="AP4">
        <v>0.35787714734529502</v>
      </c>
      <c r="AQ4" s="1" t="str">
        <f t="shared" ref="AQ4:AQ24" si="12">_xlfn.CONCAT(ROUND(AL4,1)," [", ROUND(AN4,1),", ",ROUND(AO4,1),"]")</f>
        <v>0 [0, 1]</v>
      </c>
      <c r="AR4" s="1" t="str">
        <f t="shared" si="10"/>
        <v>0 +/-0.4</v>
      </c>
      <c r="AS4">
        <v>212</v>
      </c>
      <c r="AT4">
        <v>11.175540326831801</v>
      </c>
      <c r="AU4" s="1">
        <f t="shared" si="11"/>
        <v>11.18</v>
      </c>
    </row>
    <row r="5" spans="1:47" x14ac:dyDescent="0.2">
      <c r="A5" t="s">
        <v>52</v>
      </c>
      <c r="B5" t="s">
        <v>36</v>
      </c>
      <c r="C5">
        <v>-19</v>
      </c>
      <c r="D5">
        <v>-23.9220779220779</v>
      </c>
      <c r="E5">
        <v>-156</v>
      </c>
      <c r="F5">
        <v>6</v>
      </c>
      <c r="G5">
        <v>19.982913426333202</v>
      </c>
      <c r="H5" s="1" t="str">
        <f t="shared" si="0"/>
        <v>-19 [-156, 6]</v>
      </c>
      <c r="I5" s="1" t="str">
        <f t="shared" si="1"/>
        <v>-19 +/-20</v>
      </c>
      <c r="J5">
        <v>7</v>
      </c>
      <c r="K5">
        <v>9.5350649350649395</v>
      </c>
      <c r="L5">
        <v>2</v>
      </c>
      <c r="M5">
        <v>115</v>
      </c>
      <c r="N5">
        <v>11.0898058274274</v>
      </c>
      <c r="O5" s="1" t="str">
        <f t="shared" si="2"/>
        <v>7 [2, 115]</v>
      </c>
      <c r="P5" s="1" t="str">
        <f t="shared" si="3"/>
        <v>7 +/-11.1</v>
      </c>
      <c r="Q5">
        <v>15.976699999999999</v>
      </c>
      <c r="R5">
        <v>42.832084675324701</v>
      </c>
      <c r="S5">
        <v>1.5</v>
      </c>
      <c r="T5">
        <v>426</v>
      </c>
      <c r="U5">
        <v>62.847573552646999</v>
      </c>
      <c r="V5" s="1" t="str">
        <f t="shared" si="4"/>
        <v>16 [1.5, 426]</v>
      </c>
      <c r="W5" s="1" t="str">
        <f t="shared" si="5"/>
        <v>16 +/-62.8</v>
      </c>
      <c r="X5">
        <v>121</v>
      </c>
      <c r="Y5">
        <v>139.53506493506501</v>
      </c>
      <c r="Z5">
        <v>1</v>
      </c>
      <c r="AA5">
        <v>479</v>
      </c>
      <c r="AB5">
        <v>108.56420643236901</v>
      </c>
      <c r="AC5" s="1" t="str">
        <f t="shared" si="6"/>
        <v>121 [1, 479]</v>
      </c>
      <c r="AD5" s="1" t="str">
        <f t="shared" si="7"/>
        <v>121 +/-108.6</v>
      </c>
      <c r="AE5">
        <v>0</v>
      </c>
      <c r="AF5">
        <v>1.06493506493506</v>
      </c>
      <c r="AG5">
        <v>0</v>
      </c>
      <c r="AH5">
        <v>15</v>
      </c>
      <c r="AI5">
        <v>1.9891480479617201</v>
      </c>
      <c r="AJ5" s="1" t="str">
        <f t="shared" si="8"/>
        <v>0 [0, 15]</v>
      </c>
      <c r="AK5" s="1" t="str">
        <f t="shared" si="9"/>
        <v>0 +/-2</v>
      </c>
      <c r="AL5">
        <v>0</v>
      </c>
      <c r="AM5">
        <v>0.266822556378284</v>
      </c>
      <c r="AN5">
        <v>0</v>
      </c>
      <c r="AO5">
        <v>0.95121951219512202</v>
      </c>
      <c r="AP5">
        <v>0.33085548016901101</v>
      </c>
      <c r="AQ5" s="1" t="str">
        <f t="shared" si="12"/>
        <v>0 [0, 1]</v>
      </c>
      <c r="AR5" s="1" t="str">
        <f t="shared" si="10"/>
        <v>0 +/-0.3</v>
      </c>
      <c r="AS5">
        <v>385</v>
      </c>
      <c r="AT5">
        <v>20.295202952029499</v>
      </c>
      <c r="AU5" s="1">
        <f t="shared" si="11"/>
        <v>20.3</v>
      </c>
    </row>
    <row r="6" spans="1:47" x14ac:dyDescent="0.2">
      <c r="A6" t="s">
        <v>52</v>
      </c>
      <c r="B6" t="s">
        <v>37</v>
      </c>
      <c r="C6">
        <v>-20</v>
      </c>
      <c r="D6">
        <v>-25.938775510204099</v>
      </c>
      <c r="E6">
        <v>-267</v>
      </c>
      <c r="F6">
        <v>52</v>
      </c>
      <c r="G6">
        <v>37.474590728756603</v>
      </c>
      <c r="H6" s="1" t="str">
        <f t="shared" si="0"/>
        <v>-20 [-267, 52]</v>
      </c>
      <c r="I6" s="1" t="str">
        <f t="shared" si="1"/>
        <v>-20 +/-37.5</v>
      </c>
      <c r="J6">
        <v>8</v>
      </c>
      <c r="K6">
        <v>13.8928571428571</v>
      </c>
      <c r="L6">
        <v>2</v>
      </c>
      <c r="M6">
        <v>94</v>
      </c>
      <c r="N6">
        <v>15.192567346044701</v>
      </c>
      <c r="O6" s="1" t="str">
        <f t="shared" si="2"/>
        <v>8 [2, 94]</v>
      </c>
      <c r="P6" s="1" t="str">
        <f t="shared" si="3"/>
        <v>8 +/-15.2</v>
      </c>
      <c r="Q6">
        <v>45</v>
      </c>
      <c r="R6">
        <v>81.895182142857195</v>
      </c>
      <c r="S6">
        <v>1.9631000000000001</v>
      </c>
      <c r="T6">
        <v>450</v>
      </c>
      <c r="U6">
        <v>95.696335099131005</v>
      </c>
      <c r="V6" s="1" t="str">
        <f t="shared" si="4"/>
        <v>45 [2, 450]</v>
      </c>
      <c r="W6" s="1" t="str">
        <f t="shared" si="5"/>
        <v>45 +/-95.7</v>
      </c>
      <c r="X6">
        <v>198</v>
      </c>
      <c r="Y6">
        <v>198.95408163265299</v>
      </c>
      <c r="Z6">
        <v>5</v>
      </c>
      <c r="AA6">
        <v>513</v>
      </c>
      <c r="AB6">
        <v>117.228039586552</v>
      </c>
      <c r="AC6" s="1" t="str">
        <f t="shared" si="6"/>
        <v>198 [5, 513]</v>
      </c>
      <c r="AD6" s="1" t="str">
        <f t="shared" si="7"/>
        <v>198 +/-117.2</v>
      </c>
      <c r="AE6">
        <v>1</v>
      </c>
      <c r="AF6">
        <v>2.4693877551020398</v>
      </c>
      <c r="AG6">
        <v>0</v>
      </c>
      <c r="AH6">
        <v>17</v>
      </c>
      <c r="AI6">
        <v>3.4155123702658501</v>
      </c>
      <c r="AJ6" s="1" t="str">
        <f t="shared" si="8"/>
        <v>1 [0, 17]</v>
      </c>
      <c r="AK6" s="1" t="str">
        <f t="shared" si="9"/>
        <v>1 +/-3.4</v>
      </c>
      <c r="AL6">
        <v>0.53589743589743599</v>
      </c>
      <c r="AM6">
        <v>0.43458069016483802</v>
      </c>
      <c r="AN6">
        <v>0</v>
      </c>
      <c r="AO6">
        <v>0.94871794871794901</v>
      </c>
      <c r="AP6">
        <v>0.355801286134657</v>
      </c>
      <c r="AQ6" s="1" t="str">
        <f t="shared" si="12"/>
        <v>0.5 [0, 0.9]</v>
      </c>
      <c r="AR6" s="1" t="str">
        <f t="shared" si="10"/>
        <v>0.5 +/-0.4</v>
      </c>
      <c r="AS6">
        <v>196</v>
      </c>
      <c r="AT6">
        <v>10.3321033210332</v>
      </c>
      <c r="AU6" s="1">
        <f t="shared" si="11"/>
        <v>10.33</v>
      </c>
    </row>
    <row r="7" spans="1:47" x14ac:dyDescent="0.2">
      <c r="A7" t="s">
        <v>52</v>
      </c>
      <c r="B7" t="s">
        <v>38</v>
      </c>
      <c r="C7">
        <v>-21</v>
      </c>
      <c r="D7">
        <v>-28.1608695652174</v>
      </c>
      <c r="E7">
        <v>-157</v>
      </c>
      <c r="F7">
        <v>4</v>
      </c>
      <c r="G7">
        <v>25.283289942811201</v>
      </c>
      <c r="H7" s="1" t="str">
        <f t="shared" si="0"/>
        <v>-21 [-157, 4]</v>
      </c>
      <c r="I7" s="1" t="str">
        <f t="shared" si="1"/>
        <v>-21 +/-25.3</v>
      </c>
      <c r="J7">
        <v>6</v>
      </c>
      <c r="K7">
        <v>8.8043478260869605</v>
      </c>
      <c r="L7">
        <v>2</v>
      </c>
      <c r="M7">
        <v>73</v>
      </c>
      <c r="N7">
        <v>8.4383703729439201</v>
      </c>
      <c r="O7" s="1" t="str">
        <f t="shared" si="2"/>
        <v>6 [2, 73]</v>
      </c>
      <c r="P7" s="1" t="str">
        <f t="shared" si="3"/>
        <v>6 +/-8.4</v>
      </c>
      <c r="Q7">
        <v>18</v>
      </c>
      <c r="R7">
        <v>48.341464347826097</v>
      </c>
      <c r="S7">
        <v>1.5</v>
      </c>
      <c r="T7">
        <v>436</v>
      </c>
      <c r="U7">
        <v>66.6019918880163</v>
      </c>
      <c r="V7" s="1" t="str">
        <f t="shared" si="4"/>
        <v>18 [1.5, 436]</v>
      </c>
      <c r="W7" s="1" t="str">
        <f t="shared" si="5"/>
        <v>18 +/-66.6</v>
      </c>
      <c r="X7">
        <v>146</v>
      </c>
      <c r="Y7">
        <v>156.804347826087</v>
      </c>
      <c r="Z7">
        <v>3</v>
      </c>
      <c r="AA7">
        <v>496</v>
      </c>
      <c r="AB7">
        <v>106.14327047663799</v>
      </c>
      <c r="AC7" s="1" t="str">
        <f t="shared" si="6"/>
        <v>146 [3, 496]</v>
      </c>
      <c r="AD7" s="1" t="str">
        <f t="shared" si="7"/>
        <v>146 +/-106.1</v>
      </c>
      <c r="AE7">
        <v>1</v>
      </c>
      <c r="AF7">
        <v>1.1217391304347799</v>
      </c>
      <c r="AG7">
        <v>0</v>
      </c>
      <c r="AH7">
        <v>13</v>
      </c>
      <c r="AI7">
        <v>1.81284994133984</v>
      </c>
      <c r="AJ7" s="1" t="str">
        <f t="shared" si="8"/>
        <v>1 [0, 13]</v>
      </c>
      <c r="AK7" s="1" t="str">
        <f t="shared" si="9"/>
        <v>1 +/-1.8</v>
      </c>
      <c r="AL7">
        <v>0.14835164835164799</v>
      </c>
      <c r="AM7">
        <v>0.32273015994882298</v>
      </c>
      <c r="AN7">
        <v>0</v>
      </c>
      <c r="AO7">
        <v>0.95454545454545503</v>
      </c>
      <c r="AP7">
        <v>0.35918416019211402</v>
      </c>
      <c r="AQ7" s="1" t="str">
        <f t="shared" si="12"/>
        <v>0.1 [0, 1]</v>
      </c>
      <c r="AR7" s="1" t="str">
        <f t="shared" si="10"/>
        <v>0.1 +/-0.4</v>
      </c>
      <c r="AS7">
        <v>230</v>
      </c>
      <c r="AT7">
        <v>12.1244069583553</v>
      </c>
      <c r="AU7" s="1">
        <f t="shared" si="11"/>
        <v>12.12</v>
      </c>
    </row>
    <row r="8" spans="1:47" x14ac:dyDescent="0.2">
      <c r="A8" t="s">
        <v>52</v>
      </c>
      <c r="B8" t="s">
        <v>39</v>
      </c>
      <c r="C8">
        <v>-16</v>
      </c>
      <c r="D8">
        <v>-28.1413043478261</v>
      </c>
      <c r="E8">
        <v>-146</v>
      </c>
      <c r="F8">
        <v>2</v>
      </c>
      <c r="G8">
        <v>31.340589670861998</v>
      </c>
      <c r="H8" s="1" t="str">
        <f t="shared" si="0"/>
        <v>-16 [-146, 2]</v>
      </c>
      <c r="I8" s="1" t="str">
        <f t="shared" si="1"/>
        <v>-16 +/-31.3</v>
      </c>
      <c r="J8">
        <v>16</v>
      </c>
      <c r="K8">
        <v>19.326086956521699</v>
      </c>
      <c r="L8">
        <v>4</v>
      </c>
      <c r="M8">
        <v>72</v>
      </c>
      <c r="N8">
        <v>13.180995889981</v>
      </c>
      <c r="O8" s="1" t="str">
        <f t="shared" si="2"/>
        <v>16 [4, 72]</v>
      </c>
      <c r="P8" s="1" t="str">
        <f t="shared" si="3"/>
        <v>16 +/-13.2</v>
      </c>
      <c r="Q8">
        <v>63.001249999999999</v>
      </c>
      <c r="R8">
        <v>75.085885869565203</v>
      </c>
      <c r="S8">
        <v>6</v>
      </c>
      <c r="T8">
        <v>366</v>
      </c>
      <c r="U8">
        <v>64.634397496854902</v>
      </c>
      <c r="V8" s="1" t="str">
        <f t="shared" si="4"/>
        <v>63 [6, 366]</v>
      </c>
      <c r="W8" s="1" t="str">
        <f t="shared" si="5"/>
        <v>63 +/-64.6</v>
      </c>
      <c r="X8">
        <v>232.5</v>
      </c>
      <c r="Y8">
        <v>233.66304347826099</v>
      </c>
      <c r="Z8">
        <v>9</v>
      </c>
      <c r="AA8">
        <v>439</v>
      </c>
      <c r="AB8">
        <v>100.40229816269</v>
      </c>
      <c r="AC8" s="1" t="str">
        <f t="shared" si="6"/>
        <v>232.5 [9, 439]</v>
      </c>
      <c r="AD8" s="1" t="str">
        <f t="shared" si="7"/>
        <v>232.5 +/-100.4</v>
      </c>
      <c r="AE8">
        <v>1</v>
      </c>
      <c r="AF8">
        <v>1.76086956521739</v>
      </c>
      <c r="AG8">
        <v>0</v>
      </c>
      <c r="AH8">
        <v>7</v>
      </c>
      <c r="AI8">
        <v>1.79969206900496</v>
      </c>
      <c r="AJ8" s="1" t="str">
        <f t="shared" si="8"/>
        <v>1 [0, 7]</v>
      </c>
      <c r="AK8" s="1" t="str">
        <f t="shared" si="9"/>
        <v>1 +/-1.8</v>
      </c>
      <c r="AL8">
        <v>0.36237373737373701</v>
      </c>
      <c r="AM8">
        <v>0.34510802511287297</v>
      </c>
      <c r="AN8">
        <v>0</v>
      </c>
      <c r="AO8">
        <v>0.891891891891892</v>
      </c>
      <c r="AP8">
        <v>0.29037036369739699</v>
      </c>
      <c r="AQ8" s="1" t="str">
        <f t="shared" si="12"/>
        <v>0.4 [0, 0.9]</v>
      </c>
      <c r="AR8" s="1" t="str">
        <f t="shared" si="10"/>
        <v>0.4 +/-0.3</v>
      </c>
      <c r="AS8">
        <v>92</v>
      </c>
      <c r="AT8">
        <v>4.8497627833421202</v>
      </c>
      <c r="AU8" s="1">
        <f t="shared" si="11"/>
        <v>4.8499999999999996</v>
      </c>
    </row>
    <row r="9" spans="1:47" x14ac:dyDescent="0.2">
      <c r="A9" t="s">
        <v>52</v>
      </c>
      <c r="B9" t="s">
        <v>40</v>
      </c>
      <c r="C9">
        <v>-20</v>
      </c>
      <c r="D9">
        <v>-29.154285714285699</v>
      </c>
      <c r="E9">
        <v>-270</v>
      </c>
      <c r="F9">
        <v>0</v>
      </c>
      <c r="G9">
        <v>34.797182000921502</v>
      </c>
      <c r="H9" s="1" t="str">
        <f t="shared" si="0"/>
        <v>-20 [-270, 0]</v>
      </c>
      <c r="I9" s="1" t="str">
        <f t="shared" si="1"/>
        <v>-20 +/-34.8</v>
      </c>
      <c r="J9">
        <v>7</v>
      </c>
      <c r="K9">
        <v>9.8285714285714292</v>
      </c>
      <c r="L9">
        <v>2</v>
      </c>
      <c r="M9">
        <v>61</v>
      </c>
      <c r="N9">
        <v>9.33441818701003</v>
      </c>
      <c r="O9" s="1" t="str">
        <f t="shared" si="2"/>
        <v>7 [2, 61]</v>
      </c>
      <c r="P9" s="1" t="str">
        <f t="shared" si="3"/>
        <v>7 +/-9.3</v>
      </c>
      <c r="Q9">
        <v>22</v>
      </c>
      <c r="R9">
        <v>46.091081142857099</v>
      </c>
      <c r="S9">
        <v>1.9833000000000001</v>
      </c>
      <c r="T9">
        <v>280.01670000000001</v>
      </c>
      <c r="U9">
        <v>54.242026619252698</v>
      </c>
      <c r="V9" s="1" t="str">
        <f t="shared" si="4"/>
        <v>22 [2, 280]</v>
      </c>
      <c r="W9" s="1" t="str">
        <f t="shared" si="5"/>
        <v>22 +/-54.2</v>
      </c>
      <c r="X9">
        <v>141</v>
      </c>
      <c r="Y9">
        <v>148.73142857142901</v>
      </c>
      <c r="Z9">
        <v>4</v>
      </c>
      <c r="AA9">
        <v>510</v>
      </c>
      <c r="AB9">
        <v>95.923831646950504</v>
      </c>
      <c r="AC9" s="1" t="str">
        <f t="shared" si="6"/>
        <v>141 [4, 510]</v>
      </c>
      <c r="AD9" s="1" t="str">
        <f t="shared" si="7"/>
        <v>141 +/-95.9</v>
      </c>
      <c r="AE9">
        <v>0</v>
      </c>
      <c r="AF9">
        <v>1.02857142857143</v>
      </c>
      <c r="AG9">
        <v>0</v>
      </c>
      <c r="AH9">
        <v>11</v>
      </c>
      <c r="AI9">
        <v>1.62391810643898</v>
      </c>
      <c r="AJ9" s="1" t="str">
        <f t="shared" si="8"/>
        <v>0 [0, 11]</v>
      </c>
      <c r="AK9" s="1" t="str">
        <f t="shared" si="9"/>
        <v>0 +/-1.6</v>
      </c>
      <c r="AL9">
        <v>0</v>
      </c>
      <c r="AM9">
        <v>0.31453757866800303</v>
      </c>
      <c r="AN9">
        <v>0</v>
      </c>
      <c r="AO9">
        <v>0.95652173913043503</v>
      </c>
      <c r="AP9">
        <v>0.35798466882763302</v>
      </c>
      <c r="AQ9" s="1" t="str">
        <f t="shared" si="12"/>
        <v>0 [0, 1]</v>
      </c>
      <c r="AR9" s="1" t="str">
        <f t="shared" si="10"/>
        <v>0 +/-0.4</v>
      </c>
      <c r="AS9">
        <v>175</v>
      </c>
      <c r="AT9">
        <v>9.2250922509225095</v>
      </c>
      <c r="AU9" s="1">
        <f t="shared" si="11"/>
        <v>9.23</v>
      </c>
    </row>
    <row r="10" spans="1:47" x14ac:dyDescent="0.2">
      <c r="A10" t="s">
        <v>52</v>
      </c>
      <c r="B10" t="s">
        <v>41</v>
      </c>
      <c r="C10">
        <v>-18.5</v>
      </c>
      <c r="D10">
        <v>-28.4375</v>
      </c>
      <c r="E10">
        <v>-148</v>
      </c>
      <c r="F10">
        <v>0</v>
      </c>
      <c r="G10">
        <v>30.446958587583801</v>
      </c>
      <c r="H10" s="1" t="str">
        <f t="shared" si="0"/>
        <v>-18.5 [-148, 0]</v>
      </c>
      <c r="I10" s="1" t="str">
        <f t="shared" si="1"/>
        <v>-18.5 +/-30.4</v>
      </c>
      <c r="J10">
        <v>13</v>
      </c>
      <c r="K10">
        <v>18.2083333333333</v>
      </c>
      <c r="L10">
        <v>2</v>
      </c>
      <c r="M10">
        <v>66</v>
      </c>
      <c r="N10">
        <v>15.685687110925199</v>
      </c>
      <c r="O10" s="1" t="str">
        <f t="shared" si="2"/>
        <v>13 [2, 66]</v>
      </c>
      <c r="P10" s="1" t="str">
        <f t="shared" si="3"/>
        <v>13 +/-15.7</v>
      </c>
      <c r="Q10">
        <v>47</v>
      </c>
      <c r="R10">
        <v>76.024062499999999</v>
      </c>
      <c r="S10">
        <v>4</v>
      </c>
      <c r="T10">
        <v>450</v>
      </c>
      <c r="U10">
        <v>78.916194369277804</v>
      </c>
      <c r="V10" s="1" t="str">
        <f t="shared" si="4"/>
        <v>47 [4, 450]</v>
      </c>
      <c r="W10" s="1" t="str">
        <f t="shared" si="5"/>
        <v>47 +/-78.9</v>
      </c>
      <c r="X10">
        <v>210.5</v>
      </c>
      <c r="Y10">
        <v>209.4375</v>
      </c>
      <c r="Z10">
        <v>22</v>
      </c>
      <c r="AA10">
        <v>523</v>
      </c>
      <c r="AB10">
        <v>121.913974946411</v>
      </c>
      <c r="AC10" s="1" t="str">
        <f t="shared" si="6"/>
        <v>210.5 [22, 523]</v>
      </c>
      <c r="AD10" s="1" t="str">
        <f t="shared" si="7"/>
        <v>210.5 +/-121.9</v>
      </c>
      <c r="AE10">
        <v>1.5</v>
      </c>
      <c r="AF10">
        <v>2.25</v>
      </c>
      <c r="AG10">
        <v>0</v>
      </c>
      <c r="AH10">
        <v>17</v>
      </c>
      <c r="AI10">
        <v>3.0492412729112699</v>
      </c>
      <c r="AJ10" s="1" t="str">
        <f t="shared" si="8"/>
        <v>1.5 [0, 17]</v>
      </c>
      <c r="AK10" s="1" t="str">
        <f t="shared" si="9"/>
        <v>1.5 +/-3</v>
      </c>
      <c r="AL10">
        <v>0.224080267558529</v>
      </c>
      <c r="AM10">
        <v>0.36152828642388002</v>
      </c>
      <c r="AN10">
        <v>0</v>
      </c>
      <c r="AO10">
        <v>0.93442622950819698</v>
      </c>
      <c r="AP10">
        <v>0.31920405074217401</v>
      </c>
      <c r="AQ10" s="1" t="str">
        <f t="shared" si="12"/>
        <v>0.2 [0, 0.9]</v>
      </c>
      <c r="AR10" s="1" t="str">
        <f t="shared" si="10"/>
        <v>0.2 +/-0.3</v>
      </c>
      <c r="AS10">
        <v>48</v>
      </c>
      <c r="AT10">
        <v>2.5303110173958898</v>
      </c>
      <c r="AU10" s="1">
        <f t="shared" si="11"/>
        <v>2.5299999999999998</v>
      </c>
    </row>
    <row r="11" spans="1:47" x14ac:dyDescent="0.2">
      <c r="A11" t="s">
        <v>52</v>
      </c>
      <c r="B11" t="s">
        <v>42</v>
      </c>
      <c r="C11">
        <v>-30</v>
      </c>
      <c r="D11">
        <v>-46.104761904761901</v>
      </c>
      <c r="E11">
        <v>-175</v>
      </c>
      <c r="F11">
        <v>37</v>
      </c>
      <c r="G11">
        <v>47.1262469350483</v>
      </c>
      <c r="H11" s="1" t="str">
        <f t="shared" si="0"/>
        <v>-30 [-175, 37]</v>
      </c>
      <c r="I11" s="1" t="str">
        <f t="shared" si="1"/>
        <v>-30 +/-47.1</v>
      </c>
      <c r="J11">
        <v>27</v>
      </c>
      <c r="K11">
        <v>54.371428571428602</v>
      </c>
      <c r="L11">
        <v>2</v>
      </c>
      <c r="M11">
        <v>260</v>
      </c>
      <c r="N11">
        <v>60.506874552664399</v>
      </c>
      <c r="O11" s="1" t="str">
        <f t="shared" si="2"/>
        <v>27 [2, 260]</v>
      </c>
      <c r="P11" s="1" t="str">
        <f t="shared" si="3"/>
        <v>27 +/-60.5</v>
      </c>
      <c r="Q11">
        <v>182</v>
      </c>
      <c r="R11">
        <v>277.11928761904801</v>
      </c>
      <c r="S11">
        <v>2</v>
      </c>
      <c r="T11">
        <v>1345.5</v>
      </c>
      <c r="U11">
        <v>288.61910240332298</v>
      </c>
      <c r="V11" s="1" t="str">
        <f t="shared" si="4"/>
        <v>182 [2, 1345.5]</v>
      </c>
      <c r="W11" s="1" t="str">
        <f t="shared" si="5"/>
        <v>182 +/-288.6</v>
      </c>
      <c r="X11">
        <v>241</v>
      </c>
      <c r="Y11">
        <v>232.81904761904801</v>
      </c>
      <c r="Z11">
        <v>15</v>
      </c>
      <c r="AA11">
        <v>489</v>
      </c>
      <c r="AB11">
        <v>116.655540024103</v>
      </c>
      <c r="AC11" s="1" t="str">
        <f t="shared" si="6"/>
        <v>241 [15, 489]</v>
      </c>
      <c r="AD11" s="1" t="str">
        <f t="shared" si="7"/>
        <v>241 +/-116.7</v>
      </c>
      <c r="AE11">
        <v>5</v>
      </c>
      <c r="AF11">
        <v>8.7238095238095195</v>
      </c>
      <c r="AG11">
        <v>0</v>
      </c>
      <c r="AH11">
        <v>40</v>
      </c>
      <c r="AI11">
        <v>9.4375429067748406</v>
      </c>
      <c r="AJ11" s="1" t="str">
        <f t="shared" si="8"/>
        <v>5 [0, 40]</v>
      </c>
      <c r="AK11" s="1" t="str">
        <f t="shared" si="9"/>
        <v>5 +/-9.4</v>
      </c>
      <c r="AL11">
        <v>0.52941176470588203</v>
      </c>
      <c r="AM11">
        <v>0.46972629808999899</v>
      </c>
      <c r="AN11">
        <v>0</v>
      </c>
      <c r="AO11">
        <v>0.87969924812030098</v>
      </c>
      <c r="AP11">
        <v>0.27100413123238698</v>
      </c>
      <c r="AQ11" s="1" t="str">
        <f t="shared" si="12"/>
        <v>0.5 [0, 0.9]</v>
      </c>
      <c r="AR11" s="1" t="str">
        <f t="shared" si="10"/>
        <v>0.5 +/-0.3</v>
      </c>
      <c r="AS11">
        <v>105</v>
      </c>
      <c r="AT11">
        <v>5.5350553505534998</v>
      </c>
      <c r="AU11" s="1">
        <f t="shared" si="11"/>
        <v>5.54</v>
      </c>
    </row>
    <row r="12" spans="1:47" x14ac:dyDescent="0.2">
      <c r="A12" t="s">
        <v>52</v>
      </c>
      <c r="B12" t="s">
        <v>43</v>
      </c>
      <c r="C12">
        <v>-47</v>
      </c>
      <c r="D12">
        <v>-58.733333333333299</v>
      </c>
      <c r="E12">
        <v>-169</v>
      </c>
      <c r="F12">
        <v>-3</v>
      </c>
      <c r="G12">
        <v>51.561100904041801</v>
      </c>
      <c r="H12" s="1" t="str">
        <f t="shared" si="0"/>
        <v>-47 [-169, -3]</v>
      </c>
      <c r="I12" s="1" t="str">
        <f t="shared" si="1"/>
        <v>-47 +/-51.6</v>
      </c>
      <c r="J12">
        <v>22.5</v>
      </c>
      <c r="K12">
        <v>40</v>
      </c>
      <c r="L12">
        <v>3</v>
      </c>
      <c r="M12">
        <v>130</v>
      </c>
      <c r="N12">
        <v>36.9080871429518</v>
      </c>
      <c r="O12" s="1" t="str">
        <f t="shared" si="2"/>
        <v>22.5 [3, 130]</v>
      </c>
      <c r="P12" s="1" t="str">
        <f t="shared" si="3"/>
        <v>22.5 +/-36.9</v>
      </c>
      <c r="Q12">
        <v>167.00835000000001</v>
      </c>
      <c r="R12">
        <v>217.28424999999999</v>
      </c>
      <c r="S12">
        <v>4</v>
      </c>
      <c r="T12">
        <v>656</v>
      </c>
      <c r="U12">
        <v>189.30427304606101</v>
      </c>
      <c r="V12" s="1" t="str">
        <f t="shared" si="4"/>
        <v>167 [4, 656]</v>
      </c>
      <c r="W12" s="1" t="str">
        <f t="shared" si="5"/>
        <v>167 +/-189.3</v>
      </c>
      <c r="X12">
        <v>276</v>
      </c>
      <c r="Y12">
        <v>255.2</v>
      </c>
      <c r="Z12">
        <v>69</v>
      </c>
      <c r="AA12">
        <v>488</v>
      </c>
      <c r="AB12">
        <v>116.080946786699</v>
      </c>
      <c r="AC12" s="1" t="str">
        <f t="shared" si="6"/>
        <v>276 [69, 488]</v>
      </c>
      <c r="AD12" s="1" t="str">
        <f t="shared" si="7"/>
        <v>276 +/-116.1</v>
      </c>
      <c r="AE12">
        <v>5</v>
      </c>
      <c r="AF12">
        <v>7.1</v>
      </c>
      <c r="AG12">
        <v>0</v>
      </c>
      <c r="AH12">
        <v>20</v>
      </c>
      <c r="AI12">
        <v>6.5091447608146904</v>
      </c>
      <c r="AJ12" s="1" t="str">
        <f t="shared" si="8"/>
        <v>5 [0, 20]</v>
      </c>
      <c r="AK12" s="1" t="str">
        <f t="shared" si="9"/>
        <v>5 +/-6.5</v>
      </c>
      <c r="AL12">
        <v>0.58365943945002696</v>
      </c>
      <c r="AM12">
        <v>0.49848738771527801</v>
      </c>
      <c r="AN12">
        <v>0</v>
      </c>
      <c r="AO12">
        <v>0.92307692307692302</v>
      </c>
      <c r="AP12">
        <v>0.30168596592712699</v>
      </c>
      <c r="AQ12" s="1" t="str">
        <f t="shared" si="12"/>
        <v>0.6 [0, 0.9]</v>
      </c>
      <c r="AR12" s="1" t="str">
        <f t="shared" si="10"/>
        <v>0.6 +/-0.3</v>
      </c>
      <c r="AS12">
        <v>30</v>
      </c>
      <c r="AT12">
        <v>1.5814443858724301</v>
      </c>
      <c r="AU12" s="1">
        <f t="shared" si="11"/>
        <v>1.58</v>
      </c>
    </row>
    <row r="13" spans="1:47" x14ac:dyDescent="0.2">
      <c r="A13" t="s">
        <v>53</v>
      </c>
      <c r="B13" t="s">
        <v>54</v>
      </c>
      <c r="C13">
        <v>-10</v>
      </c>
      <c r="D13">
        <v>-12.5671641791045</v>
      </c>
      <c r="E13">
        <v>-46</v>
      </c>
      <c r="F13">
        <v>0</v>
      </c>
      <c r="G13">
        <v>11.0771726517864</v>
      </c>
      <c r="H13" s="1" t="str">
        <f t="shared" si="0"/>
        <v>-10 [-46, 0]</v>
      </c>
      <c r="I13" s="1" t="str">
        <f t="shared" si="1"/>
        <v>-10 +/-11.1</v>
      </c>
      <c r="J13">
        <v>11</v>
      </c>
      <c r="K13">
        <v>15.6716417910448</v>
      </c>
      <c r="L13">
        <v>3</v>
      </c>
      <c r="M13">
        <v>41</v>
      </c>
      <c r="N13">
        <v>9.5479460899404405</v>
      </c>
      <c r="O13" s="1" t="str">
        <f t="shared" si="2"/>
        <v>11 [3, 41]</v>
      </c>
      <c r="P13" s="1" t="str">
        <f t="shared" si="3"/>
        <v>11 +/-9.5</v>
      </c>
      <c r="Q13">
        <v>60</v>
      </c>
      <c r="R13">
        <v>72.1796119402985</v>
      </c>
      <c r="S13">
        <v>4</v>
      </c>
      <c r="T13">
        <v>204.0086</v>
      </c>
      <c r="U13">
        <v>48.407835043843598</v>
      </c>
      <c r="V13" s="1" t="str">
        <f t="shared" si="4"/>
        <v>60 [4, 204]</v>
      </c>
      <c r="W13" s="1" t="str">
        <f t="shared" si="5"/>
        <v>60 +/-48.4</v>
      </c>
      <c r="X13">
        <v>240</v>
      </c>
      <c r="Y13">
        <v>219.313432835821</v>
      </c>
      <c r="Z13">
        <v>30</v>
      </c>
      <c r="AA13">
        <v>430</v>
      </c>
      <c r="AB13">
        <v>87.423075962610497</v>
      </c>
      <c r="AC13" s="1" t="str">
        <f t="shared" si="6"/>
        <v>240 [30, 430]</v>
      </c>
      <c r="AD13" s="1" t="str">
        <f t="shared" si="7"/>
        <v>240 +/-87.4</v>
      </c>
      <c r="AE13">
        <v>2</v>
      </c>
      <c r="AF13">
        <v>2.4477611940298498</v>
      </c>
      <c r="AG13">
        <v>0</v>
      </c>
      <c r="AH13">
        <v>8</v>
      </c>
      <c r="AI13">
        <v>1.79463495139661</v>
      </c>
      <c r="AJ13" s="1" t="str">
        <f t="shared" si="8"/>
        <v>2 [0, 8]</v>
      </c>
      <c r="AK13" s="1" t="str">
        <f t="shared" si="9"/>
        <v>2 +/-1.8</v>
      </c>
      <c r="AL13">
        <v>0.5</v>
      </c>
      <c r="AM13">
        <v>0.47665514680596999</v>
      </c>
      <c r="AN13">
        <v>0</v>
      </c>
      <c r="AO13">
        <v>0.92307692299999999</v>
      </c>
      <c r="AP13">
        <v>0.26412477924319899</v>
      </c>
      <c r="AQ13" s="1" t="str">
        <f t="shared" si="12"/>
        <v>0.5 [0, 0.9]</v>
      </c>
      <c r="AR13" s="1" t="str">
        <f t="shared" si="10"/>
        <v>0.5 +/-0.3</v>
      </c>
      <c r="AS13">
        <v>67</v>
      </c>
      <c r="AT13">
        <v>6.3147973609802097</v>
      </c>
      <c r="AU13" s="1">
        <f t="shared" si="11"/>
        <v>6.31</v>
      </c>
    </row>
    <row r="14" spans="1:47" x14ac:dyDescent="0.2">
      <c r="A14" t="s">
        <v>53</v>
      </c>
      <c r="B14" t="s">
        <v>36</v>
      </c>
      <c r="C14">
        <v>-9</v>
      </c>
      <c r="D14">
        <v>-14.455752212389401</v>
      </c>
      <c r="E14">
        <v>-63</v>
      </c>
      <c r="F14">
        <v>7</v>
      </c>
      <c r="G14">
        <v>14.065569865948699</v>
      </c>
      <c r="H14" s="1" t="str">
        <f t="shared" si="0"/>
        <v>-9 [-63, 7]</v>
      </c>
      <c r="I14" s="1" t="str">
        <f t="shared" si="1"/>
        <v>-9 +/-14.1</v>
      </c>
      <c r="J14">
        <v>7</v>
      </c>
      <c r="K14">
        <v>8.7699115044247797</v>
      </c>
      <c r="L14">
        <v>2</v>
      </c>
      <c r="M14">
        <v>69</v>
      </c>
      <c r="N14">
        <v>7.3193914131436104</v>
      </c>
      <c r="O14" s="1" t="str">
        <f t="shared" si="2"/>
        <v>7 [2, 69]</v>
      </c>
      <c r="P14" s="1" t="str">
        <f t="shared" si="3"/>
        <v>7 +/-7.3</v>
      </c>
      <c r="Q14">
        <v>14.0182</v>
      </c>
      <c r="R14">
        <v>41.088600884955703</v>
      </c>
      <c r="S14">
        <v>1.9903</v>
      </c>
      <c r="T14">
        <v>427.99250000000001</v>
      </c>
      <c r="U14">
        <v>58.670727061877599</v>
      </c>
      <c r="V14" s="1" t="str">
        <f t="shared" si="4"/>
        <v>14 [2, 428]</v>
      </c>
      <c r="W14" s="1" t="str">
        <f t="shared" si="5"/>
        <v>14 +/-58.7</v>
      </c>
      <c r="X14">
        <v>121</v>
      </c>
      <c r="Y14">
        <v>134.022123893805</v>
      </c>
      <c r="Z14">
        <v>2</v>
      </c>
      <c r="AA14">
        <v>402</v>
      </c>
      <c r="AB14">
        <v>92.600669289170696</v>
      </c>
      <c r="AC14" s="1" t="str">
        <f t="shared" si="6"/>
        <v>121 [2, 402]</v>
      </c>
      <c r="AD14" s="1" t="str">
        <f t="shared" si="7"/>
        <v>121 +/-92.6</v>
      </c>
      <c r="AE14">
        <v>0</v>
      </c>
      <c r="AF14">
        <v>0.89823008849557495</v>
      </c>
      <c r="AG14">
        <v>0</v>
      </c>
      <c r="AH14">
        <v>12</v>
      </c>
      <c r="AI14">
        <v>1.6202322083720599</v>
      </c>
      <c r="AJ14" s="1" t="str">
        <f t="shared" si="8"/>
        <v>0 [0, 12]</v>
      </c>
      <c r="AK14" s="1" t="str">
        <f t="shared" si="9"/>
        <v>0 +/-1.6</v>
      </c>
      <c r="AL14">
        <v>0</v>
      </c>
      <c r="AM14">
        <v>0.26217281065929199</v>
      </c>
      <c r="AN14">
        <v>0</v>
      </c>
      <c r="AO14">
        <v>0.91489361700000005</v>
      </c>
      <c r="AP14">
        <v>0.333952233295636</v>
      </c>
      <c r="AQ14" s="1" t="str">
        <f t="shared" si="12"/>
        <v>0 [0, 0.9]</v>
      </c>
      <c r="AR14" s="1" t="str">
        <f t="shared" si="10"/>
        <v>0 +/-0.3</v>
      </c>
      <c r="AS14">
        <v>226</v>
      </c>
      <c r="AT14">
        <v>21.3006597549482</v>
      </c>
      <c r="AU14" s="1">
        <f t="shared" si="11"/>
        <v>21.3</v>
      </c>
    </row>
    <row r="15" spans="1:47" x14ac:dyDescent="0.2">
      <c r="A15" t="s">
        <v>53</v>
      </c>
      <c r="B15" t="s">
        <v>34</v>
      </c>
      <c r="C15">
        <v>-12</v>
      </c>
      <c r="D15">
        <v>-18.0745341614907</v>
      </c>
      <c r="E15">
        <v>-125</v>
      </c>
      <c r="F15">
        <v>7</v>
      </c>
      <c r="G15">
        <v>18.668004980122799</v>
      </c>
      <c r="H15" s="1" t="str">
        <f t="shared" si="0"/>
        <v>-12 [-125, 7]</v>
      </c>
      <c r="I15" s="1" t="str">
        <f t="shared" si="1"/>
        <v>-12 +/-18.7</v>
      </c>
      <c r="J15">
        <v>7</v>
      </c>
      <c r="K15">
        <v>10.403726708074499</v>
      </c>
      <c r="L15">
        <v>2</v>
      </c>
      <c r="M15">
        <v>112</v>
      </c>
      <c r="N15">
        <v>14.147605310611601</v>
      </c>
      <c r="O15" s="1" t="str">
        <f t="shared" si="2"/>
        <v>7 [2, 112]</v>
      </c>
      <c r="P15" s="1" t="str">
        <f t="shared" si="3"/>
        <v>7 +/-14.1</v>
      </c>
      <c r="Q15">
        <v>18.008099999999999</v>
      </c>
      <c r="R15">
        <v>52.074190683229801</v>
      </c>
      <c r="S15">
        <v>1.9972000000000001</v>
      </c>
      <c r="T15">
        <v>714.00890000000004</v>
      </c>
      <c r="U15">
        <v>93.715894032362399</v>
      </c>
      <c r="V15" s="1" t="str">
        <f t="shared" si="4"/>
        <v>18 [2, 714]</v>
      </c>
      <c r="W15" s="1" t="str">
        <f t="shared" si="5"/>
        <v>18 +/-93.7</v>
      </c>
      <c r="X15">
        <v>155</v>
      </c>
      <c r="Y15">
        <v>160.453416149068</v>
      </c>
      <c r="Z15">
        <v>1</v>
      </c>
      <c r="AA15">
        <v>497</v>
      </c>
      <c r="AB15">
        <v>103.523665791364</v>
      </c>
      <c r="AC15" s="1" t="str">
        <f t="shared" si="6"/>
        <v>155 [1, 497]</v>
      </c>
      <c r="AD15" s="1" t="str">
        <f t="shared" si="7"/>
        <v>155 +/-103.5</v>
      </c>
      <c r="AE15">
        <v>1</v>
      </c>
      <c r="AF15">
        <v>1.4223602484472</v>
      </c>
      <c r="AG15">
        <v>0</v>
      </c>
      <c r="AH15">
        <v>18</v>
      </c>
      <c r="AI15">
        <v>2.5803094571019898</v>
      </c>
      <c r="AJ15" s="1" t="str">
        <f t="shared" si="8"/>
        <v>1 [0, 18]</v>
      </c>
      <c r="AK15" s="1" t="str">
        <f t="shared" si="9"/>
        <v>1 +/-2.6</v>
      </c>
      <c r="AL15">
        <v>0.16666666699999999</v>
      </c>
      <c r="AM15">
        <v>0.31405092140993801</v>
      </c>
      <c r="AN15">
        <v>0</v>
      </c>
      <c r="AO15">
        <v>0.93877551000000004</v>
      </c>
      <c r="AP15">
        <v>0.33993903378623003</v>
      </c>
      <c r="AQ15" s="1" t="str">
        <f t="shared" si="12"/>
        <v>0.2 [0, 0.9]</v>
      </c>
      <c r="AR15" s="1" t="str">
        <f t="shared" si="10"/>
        <v>0.2 +/-0.3</v>
      </c>
      <c r="AS15">
        <v>161</v>
      </c>
      <c r="AT15">
        <v>15.1743638077286</v>
      </c>
      <c r="AU15" s="1">
        <f t="shared" si="11"/>
        <v>15.17</v>
      </c>
    </row>
    <row r="16" spans="1:47" x14ac:dyDescent="0.2">
      <c r="A16" t="s">
        <v>53</v>
      </c>
      <c r="B16" t="s">
        <v>40</v>
      </c>
      <c r="C16">
        <v>-15</v>
      </c>
      <c r="D16">
        <v>-20.1111111111111</v>
      </c>
      <c r="E16">
        <v>-55</v>
      </c>
      <c r="F16">
        <v>-3</v>
      </c>
      <c r="G16">
        <v>17.842081416725101</v>
      </c>
      <c r="H16" s="1" t="str">
        <f t="shared" si="0"/>
        <v>-15 [-55, -3]</v>
      </c>
      <c r="I16" s="1" t="str">
        <f t="shared" si="1"/>
        <v>-15 +/-17.8</v>
      </c>
      <c r="J16">
        <v>9.5</v>
      </c>
      <c r="K16">
        <v>10.5</v>
      </c>
      <c r="L16">
        <v>5</v>
      </c>
      <c r="M16">
        <v>19</v>
      </c>
      <c r="N16">
        <v>4.0329525018716703</v>
      </c>
      <c r="O16" s="1" t="str">
        <f t="shared" si="2"/>
        <v>9.5 [5, 19]</v>
      </c>
      <c r="P16" s="1" t="str">
        <f t="shared" si="3"/>
        <v>9.5 +/-4</v>
      </c>
      <c r="Q16">
        <v>46.003749999999997</v>
      </c>
      <c r="R16">
        <v>62.8896444444444</v>
      </c>
      <c r="S16">
        <v>10</v>
      </c>
      <c r="T16">
        <v>252.0136</v>
      </c>
      <c r="U16">
        <v>68.599091178538501</v>
      </c>
      <c r="V16" s="1" t="str">
        <f t="shared" si="4"/>
        <v>46 [10, 252]</v>
      </c>
      <c r="W16" s="1" t="str">
        <f t="shared" si="5"/>
        <v>46 +/-68.6</v>
      </c>
      <c r="X16">
        <v>113</v>
      </c>
      <c r="Y16">
        <v>135.666666666667</v>
      </c>
      <c r="Z16">
        <v>10</v>
      </c>
      <c r="AA16">
        <v>327</v>
      </c>
      <c r="AB16">
        <v>89.330187243401497</v>
      </c>
      <c r="AC16" s="1" t="str">
        <f t="shared" si="6"/>
        <v>113 [10, 327]</v>
      </c>
      <c r="AD16" s="1" t="str">
        <f t="shared" si="7"/>
        <v>113 +/-89.3</v>
      </c>
      <c r="AE16">
        <v>1</v>
      </c>
      <c r="AF16">
        <v>2.0555555555555598</v>
      </c>
      <c r="AG16">
        <v>0</v>
      </c>
      <c r="AH16">
        <v>9</v>
      </c>
      <c r="AI16">
        <v>2.9994552882388099</v>
      </c>
      <c r="AJ16" s="1" t="str">
        <f t="shared" si="8"/>
        <v>1 [0, 9]</v>
      </c>
      <c r="AK16" s="1" t="str">
        <f t="shared" si="9"/>
        <v>1 +/-3</v>
      </c>
      <c r="AL16">
        <v>0.49641577050000002</v>
      </c>
      <c r="AM16">
        <v>0.39923362305555599</v>
      </c>
      <c r="AN16">
        <v>0</v>
      </c>
      <c r="AO16">
        <v>0.89772727299999999</v>
      </c>
      <c r="AP16">
        <v>0.358695595766446</v>
      </c>
      <c r="AQ16" s="1" t="str">
        <f t="shared" si="12"/>
        <v>0.5 [0, 0.9]</v>
      </c>
      <c r="AR16" s="1" t="str">
        <f t="shared" si="10"/>
        <v>0.5 +/-0.4</v>
      </c>
      <c r="AS16">
        <v>18</v>
      </c>
      <c r="AT16">
        <v>1.6965127238454301</v>
      </c>
      <c r="AU16" s="1">
        <f t="shared" si="11"/>
        <v>1.7</v>
      </c>
    </row>
    <row r="17" spans="1:47" x14ac:dyDescent="0.2">
      <c r="A17" t="s">
        <v>53</v>
      </c>
      <c r="B17" t="s">
        <v>35</v>
      </c>
      <c r="C17">
        <v>0</v>
      </c>
      <c r="D17">
        <v>-1.3541666666666701</v>
      </c>
      <c r="E17">
        <v>-42</v>
      </c>
      <c r="F17">
        <v>20</v>
      </c>
      <c r="G17">
        <v>13.7678156665083</v>
      </c>
      <c r="H17" s="1" t="str">
        <f t="shared" si="0"/>
        <v>0 [-42, 20]</v>
      </c>
      <c r="I17" s="1" t="str">
        <f t="shared" si="1"/>
        <v>0 +/-13.8</v>
      </c>
      <c r="J17">
        <v>6</v>
      </c>
      <c r="K17">
        <v>10.0625</v>
      </c>
      <c r="L17">
        <v>2</v>
      </c>
      <c r="M17">
        <v>80</v>
      </c>
      <c r="N17">
        <v>13.0537452846854</v>
      </c>
      <c r="O17" s="1" t="str">
        <f t="shared" si="2"/>
        <v>6 [2, 80]</v>
      </c>
      <c r="P17" s="1" t="str">
        <f t="shared" si="3"/>
        <v>6 +/-13.1</v>
      </c>
      <c r="Q17">
        <v>19.001249999999999</v>
      </c>
      <c r="R17">
        <v>44.708054166666699</v>
      </c>
      <c r="S17">
        <v>1.9950000000000001</v>
      </c>
      <c r="T17">
        <v>280</v>
      </c>
      <c r="U17">
        <v>60.370464735074897</v>
      </c>
      <c r="V17" s="1" t="str">
        <f t="shared" si="4"/>
        <v>19 [2, 280]</v>
      </c>
      <c r="W17" s="1" t="str">
        <f t="shared" si="5"/>
        <v>19 +/-60.4</v>
      </c>
      <c r="X17">
        <v>188</v>
      </c>
      <c r="Y17">
        <v>174.541666666667</v>
      </c>
      <c r="Z17">
        <v>12</v>
      </c>
      <c r="AA17">
        <v>397</v>
      </c>
      <c r="AB17">
        <v>89.128632439678896</v>
      </c>
      <c r="AC17" s="1" t="str">
        <f t="shared" si="6"/>
        <v>188 [12, 397]</v>
      </c>
      <c r="AD17" s="1" t="str">
        <f t="shared" si="7"/>
        <v>188 +/-89.1</v>
      </c>
      <c r="AE17">
        <v>0</v>
      </c>
      <c r="AF17">
        <v>1</v>
      </c>
      <c r="AG17">
        <v>0</v>
      </c>
      <c r="AH17">
        <v>7</v>
      </c>
      <c r="AI17">
        <v>1.67586116319278</v>
      </c>
      <c r="AJ17" s="1" t="str">
        <f t="shared" si="8"/>
        <v>0 [0, 7]</v>
      </c>
      <c r="AK17" s="1" t="str">
        <f t="shared" si="9"/>
        <v>0 +/-1.7</v>
      </c>
      <c r="AL17">
        <v>0</v>
      </c>
      <c r="AM17">
        <v>0.30221898018749999</v>
      </c>
      <c r="AN17">
        <v>0</v>
      </c>
      <c r="AO17">
        <v>0.94505494499999998</v>
      </c>
      <c r="AP17">
        <v>0.34848459579089902</v>
      </c>
      <c r="AQ17" s="1" t="str">
        <f t="shared" si="12"/>
        <v>0 [0, 0.9]</v>
      </c>
      <c r="AR17" s="1" t="str">
        <f t="shared" si="10"/>
        <v>0 +/-0.3</v>
      </c>
      <c r="AS17">
        <v>48</v>
      </c>
      <c r="AT17">
        <v>4.5240339302544799</v>
      </c>
      <c r="AU17" s="1">
        <f t="shared" si="11"/>
        <v>4.5199999999999996</v>
      </c>
    </row>
    <row r="18" spans="1:47" x14ac:dyDescent="0.2">
      <c r="A18" t="s">
        <v>53</v>
      </c>
      <c r="B18" t="s">
        <v>33</v>
      </c>
      <c r="C18">
        <v>-7</v>
      </c>
      <c r="D18">
        <v>-12.431952662721899</v>
      </c>
      <c r="E18">
        <v>-139</v>
      </c>
      <c r="F18">
        <v>4</v>
      </c>
      <c r="G18">
        <v>18.469322611076802</v>
      </c>
      <c r="H18" s="1" t="str">
        <f t="shared" si="0"/>
        <v>-7 [-139, 4]</v>
      </c>
      <c r="I18" s="1" t="str">
        <f t="shared" si="1"/>
        <v>-7 +/-18.5</v>
      </c>
      <c r="J18">
        <v>16</v>
      </c>
      <c r="K18">
        <v>20.9940828402367</v>
      </c>
      <c r="L18">
        <v>2</v>
      </c>
      <c r="M18">
        <v>102</v>
      </c>
      <c r="N18">
        <v>18.181458714011001</v>
      </c>
      <c r="O18" s="1" t="str">
        <f t="shared" si="2"/>
        <v>16 [2, 102]</v>
      </c>
      <c r="P18" s="1" t="str">
        <f t="shared" si="3"/>
        <v>16 +/-18.2</v>
      </c>
      <c r="Q18">
        <v>68.000299999999996</v>
      </c>
      <c r="R18">
        <v>99.277524852070997</v>
      </c>
      <c r="S18">
        <v>1.9824999999999999</v>
      </c>
      <c r="T18">
        <v>428</v>
      </c>
      <c r="U18">
        <v>91.3893509786827</v>
      </c>
      <c r="V18" s="1" t="str">
        <f t="shared" si="4"/>
        <v>68 [2, 428]</v>
      </c>
      <c r="W18" s="1" t="str">
        <f t="shared" si="5"/>
        <v>68 +/-91.4</v>
      </c>
      <c r="X18">
        <v>204</v>
      </c>
      <c r="Y18">
        <v>208.53254437869799</v>
      </c>
      <c r="Z18">
        <v>5</v>
      </c>
      <c r="AA18">
        <v>490</v>
      </c>
      <c r="AB18">
        <v>101.187710734094</v>
      </c>
      <c r="AC18" s="1" t="str">
        <f t="shared" si="6"/>
        <v>204 [5, 490]</v>
      </c>
      <c r="AD18" s="1" t="str">
        <f t="shared" si="7"/>
        <v>204 +/-101.2</v>
      </c>
      <c r="AE18">
        <v>2</v>
      </c>
      <c r="AF18">
        <v>2.8047337278106501</v>
      </c>
      <c r="AG18">
        <v>0</v>
      </c>
      <c r="AH18">
        <v>19</v>
      </c>
      <c r="AI18">
        <v>2.8603989617435799</v>
      </c>
      <c r="AJ18" s="1" t="str">
        <f t="shared" si="8"/>
        <v>2 [0, 19]</v>
      </c>
      <c r="AK18" s="1" t="str">
        <f t="shared" si="9"/>
        <v>2 +/-2.9</v>
      </c>
      <c r="AL18">
        <v>0.482758621</v>
      </c>
      <c r="AM18">
        <v>0.45598599598224798</v>
      </c>
      <c r="AN18">
        <v>0</v>
      </c>
      <c r="AO18">
        <v>0.94285714300000001</v>
      </c>
      <c r="AP18">
        <v>0.27344719413471102</v>
      </c>
      <c r="AQ18" s="1" t="str">
        <f t="shared" si="12"/>
        <v>0.5 [0, 0.9]</v>
      </c>
      <c r="AR18" s="1" t="str">
        <f t="shared" si="10"/>
        <v>0.5 +/-0.3</v>
      </c>
      <c r="AS18">
        <v>169</v>
      </c>
      <c r="AT18">
        <v>15.928369462771</v>
      </c>
      <c r="AU18" s="1">
        <f t="shared" si="11"/>
        <v>15.93</v>
      </c>
    </row>
    <row r="19" spans="1:47" x14ac:dyDescent="0.2">
      <c r="A19" t="s">
        <v>53</v>
      </c>
      <c r="B19" t="s">
        <v>43</v>
      </c>
      <c r="C19">
        <v>-16.5</v>
      </c>
      <c r="D19">
        <v>-19.3333333333333</v>
      </c>
      <c r="E19">
        <v>-55</v>
      </c>
      <c r="F19">
        <v>5</v>
      </c>
      <c r="G19">
        <v>14.1544592955266</v>
      </c>
      <c r="H19" s="1" t="str">
        <f t="shared" si="0"/>
        <v>-16.5 [-55, 5]</v>
      </c>
      <c r="I19" s="1" t="str">
        <f t="shared" si="1"/>
        <v>-16.5 +/-14.2</v>
      </c>
      <c r="J19">
        <v>27.5</v>
      </c>
      <c r="K19">
        <v>51.106060606060602</v>
      </c>
      <c r="L19">
        <v>2</v>
      </c>
      <c r="M19">
        <v>271</v>
      </c>
      <c r="N19">
        <v>60.519069795047301</v>
      </c>
      <c r="O19" s="1" t="str">
        <f t="shared" si="2"/>
        <v>27.5 [2, 271]</v>
      </c>
      <c r="P19" s="1" t="str">
        <f t="shared" si="3"/>
        <v>27.5 +/-60.5</v>
      </c>
      <c r="Q19">
        <v>165</v>
      </c>
      <c r="R19">
        <v>268.84937121212101</v>
      </c>
      <c r="S19">
        <v>5.9943999999999997</v>
      </c>
      <c r="T19">
        <v>1402</v>
      </c>
      <c r="U19">
        <v>295.27026467536302</v>
      </c>
      <c r="V19" s="1" t="str">
        <f t="shared" si="4"/>
        <v>165 [6, 1402]</v>
      </c>
      <c r="W19" s="1" t="str">
        <f t="shared" si="5"/>
        <v>165 +/-295.3</v>
      </c>
      <c r="X19">
        <v>296.5</v>
      </c>
      <c r="Y19">
        <v>278.969696969697</v>
      </c>
      <c r="Z19">
        <v>52</v>
      </c>
      <c r="AA19">
        <v>595</v>
      </c>
      <c r="AB19">
        <v>116.199294277874</v>
      </c>
      <c r="AC19" s="1" t="str">
        <f t="shared" si="6"/>
        <v>296.5 [52, 595]</v>
      </c>
      <c r="AD19" s="1" t="str">
        <f t="shared" si="7"/>
        <v>296.5 +/-116.2</v>
      </c>
      <c r="AE19">
        <v>5</v>
      </c>
      <c r="AF19">
        <v>8.2727272727272698</v>
      </c>
      <c r="AG19">
        <v>0</v>
      </c>
      <c r="AH19">
        <v>41</v>
      </c>
      <c r="AI19">
        <v>9.8223378926975293</v>
      </c>
      <c r="AJ19" s="1" t="str">
        <f t="shared" si="8"/>
        <v>5 [0, 41]</v>
      </c>
      <c r="AK19" s="1" t="str">
        <f t="shared" si="9"/>
        <v>5 +/-9.8</v>
      </c>
      <c r="AL19">
        <v>0.56158326150000004</v>
      </c>
      <c r="AM19">
        <v>0.52717853922727298</v>
      </c>
      <c r="AN19">
        <v>0</v>
      </c>
      <c r="AO19">
        <v>0.89655172400000005</v>
      </c>
      <c r="AP19">
        <v>0.22867492200422601</v>
      </c>
      <c r="AQ19" s="1" t="str">
        <f t="shared" si="12"/>
        <v>0.6 [0, 0.9]</v>
      </c>
      <c r="AR19" s="1" t="str">
        <f t="shared" si="10"/>
        <v>0.6 +/-0.2</v>
      </c>
      <c r="AS19">
        <v>66</v>
      </c>
      <c r="AT19">
        <v>6.2205466540999002</v>
      </c>
      <c r="AU19" s="1">
        <f t="shared" si="11"/>
        <v>6.22</v>
      </c>
    </row>
    <row r="20" spans="1:47" x14ac:dyDescent="0.2">
      <c r="A20" t="s">
        <v>53</v>
      </c>
      <c r="B20" t="s">
        <v>38</v>
      </c>
      <c r="C20">
        <v>-11</v>
      </c>
      <c r="D20">
        <v>-18.642105263157902</v>
      </c>
      <c r="E20">
        <v>-62</v>
      </c>
      <c r="F20">
        <v>0</v>
      </c>
      <c r="G20">
        <v>17.644187632839401</v>
      </c>
      <c r="H20" s="1" t="str">
        <f t="shared" si="0"/>
        <v>-11 [-62, 0]</v>
      </c>
      <c r="I20" s="1" t="str">
        <f t="shared" si="1"/>
        <v>-11 +/-17.6</v>
      </c>
      <c r="J20">
        <v>7</v>
      </c>
      <c r="K20">
        <v>11.2210526315789</v>
      </c>
      <c r="L20">
        <v>2</v>
      </c>
      <c r="M20">
        <v>77</v>
      </c>
      <c r="N20">
        <v>11.3213965638862</v>
      </c>
      <c r="O20" s="1" t="str">
        <f t="shared" si="2"/>
        <v>7 [2, 77]</v>
      </c>
      <c r="P20" s="1" t="str">
        <f t="shared" si="3"/>
        <v>7 +/-11.3</v>
      </c>
      <c r="Q20">
        <v>20.0061</v>
      </c>
      <c r="R20">
        <v>56.547307368421002</v>
      </c>
      <c r="S20">
        <v>2</v>
      </c>
      <c r="T20">
        <v>520.00059999999996</v>
      </c>
      <c r="U20">
        <v>87.968315227566094</v>
      </c>
      <c r="V20" s="1" t="str">
        <f t="shared" si="4"/>
        <v>20 [2, 520]</v>
      </c>
      <c r="W20" s="1" t="str">
        <f t="shared" si="5"/>
        <v>20 +/-88</v>
      </c>
      <c r="X20">
        <v>151</v>
      </c>
      <c r="Y20">
        <v>155.663157894737</v>
      </c>
      <c r="Z20">
        <v>6</v>
      </c>
      <c r="AA20">
        <v>661</v>
      </c>
      <c r="AB20">
        <v>117.73858624957801</v>
      </c>
      <c r="AC20" s="1" t="str">
        <f t="shared" si="6"/>
        <v>151 [6, 661]</v>
      </c>
      <c r="AD20" s="1" t="str">
        <f t="shared" si="7"/>
        <v>151 +/-117.7</v>
      </c>
      <c r="AE20">
        <v>0</v>
      </c>
      <c r="AF20">
        <v>1.53684210526316</v>
      </c>
      <c r="AG20">
        <v>0</v>
      </c>
      <c r="AH20">
        <v>16</v>
      </c>
      <c r="AI20">
        <v>2.8650889344771802</v>
      </c>
      <c r="AJ20" s="1" t="str">
        <f t="shared" si="8"/>
        <v>0 [0, 16]</v>
      </c>
      <c r="AK20" s="1" t="str">
        <f t="shared" si="9"/>
        <v>0 +/-2.9</v>
      </c>
      <c r="AL20">
        <v>0</v>
      </c>
      <c r="AM20">
        <v>0.28092172217894701</v>
      </c>
      <c r="AN20">
        <v>0</v>
      </c>
      <c r="AO20">
        <v>0.93181818199999999</v>
      </c>
      <c r="AP20">
        <v>0.34373666945280001</v>
      </c>
      <c r="AQ20" s="1" t="str">
        <f t="shared" si="12"/>
        <v>0 [0, 0.9]</v>
      </c>
      <c r="AR20" s="1" t="str">
        <f t="shared" si="10"/>
        <v>0 +/-0.3</v>
      </c>
      <c r="AS20">
        <v>95</v>
      </c>
      <c r="AT20">
        <v>8.9538171536286502</v>
      </c>
      <c r="AU20" s="1">
        <f t="shared" si="11"/>
        <v>8.9499999999999993</v>
      </c>
    </row>
    <row r="21" spans="1:47" x14ac:dyDescent="0.2">
      <c r="A21" t="s">
        <v>53</v>
      </c>
      <c r="B21" t="s">
        <v>37</v>
      </c>
      <c r="C21">
        <v>-7</v>
      </c>
      <c r="D21">
        <v>-18.7078651685393</v>
      </c>
      <c r="E21">
        <v>-250</v>
      </c>
      <c r="F21">
        <v>6</v>
      </c>
      <c r="G21">
        <v>38.159117297058998</v>
      </c>
      <c r="H21" s="1" t="str">
        <f t="shared" si="0"/>
        <v>-7 [-250, 6]</v>
      </c>
      <c r="I21" s="1" t="str">
        <f t="shared" si="1"/>
        <v>-7 +/-38.2</v>
      </c>
      <c r="J21">
        <v>8</v>
      </c>
      <c r="K21">
        <v>11.943820224719101</v>
      </c>
      <c r="L21">
        <v>2</v>
      </c>
      <c r="M21">
        <v>57</v>
      </c>
      <c r="N21">
        <v>12.174264538698999</v>
      </c>
      <c r="O21" s="1" t="str">
        <f t="shared" si="2"/>
        <v>8 [2, 57]</v>
      </c>
      <c r="P21" s="1" t="str">
        <f t="shared" si="3"/>
        <v>8 +/-12.2</v>
      </c>
      <c r="Q21">
        <v>38</v>
      </c>
      <c r="R21">
        <v>87.930885393258393</v>
      </c>
      <c r="S21">
        <v>1.9833000000000001</v>
      </c>
      <c r="T21">
        <v>980.00220000000002</v>
      </c>
      <c r="U21">
        <v>145.94251882209801</v>
      </c>
      <c r="V21" s="1" t="str">
        <f t="shared" si="4"/>
        <v>38 [2, 980]</v>
      </c>
      <c r="W21" s="1" t="str">
        <f t="shared" si="5"/>
        <v>38 +/-145.9</v>
      </c>
      <c r="X21">
        <v>184</v>
      </c>
      <c r="Y21">
        <v>197.674157303371</v>
      </c>
      <c r="Z21">
        <v>11</v>
      </c>
      <c r="AA21">
        <v>506</v>
      </c>
      <c r="AB21">
        <v>105.710773434028</v>
      </c>
      <c r="AC21" s="1" t="str">
        <f t="shared" si="6"/>
        <v>184 [11, 506]</v>
      </c>
      <c r="AD21" s="1" t="str">
        <f t="shared" si="7"/>
        <v>184 +/-105.7</v>
      </c>
      <c r="AE21">
        <v>1</v>
      </c>
      <c r="AF21">
        <v>2.4719101123595499</v>
      </c>
      <c r="AG21">
        <v>0</v>
      </c>
      <c r="AH21">
        <v>20</v>
      </c>
      <c r="AI21">
        <v>3.5067787849212602</v>
      </c>
      <c r="AJ21" s="1" t="str">
        <f t="shared" si="8"/>
        <v>1 [0, 20]</v>
      </c>
      <c r="AK21" s="1" t="str">
        <f t="shared" si="9"/>
        <v>1 +/-3.5</v>
      </c>
      <c r="AL21">
        <v>0.428571429</v>
      </c>
      <c r="AM21">
        <v>0.44371986241573003</v>
      </c>
      <c r="AN21">
        <v>0</v>
      </c>
      <c r="AO21">
        <v>0.94117647100000001</v>
      </c>
      <c r="AP21">
        <v>0.37262235867272703</v>
      </c>
      <c r="AQ21" s="1" t="str">
        <f t="shared" si="12"/>
        <v>0.4 [0, 0.9]</v>
      </c>
      <c r="AR21" s="1" t="str">
        <f t="shared" si="10"/>
        <v>0.4 +/-0.4</v>
      </c>
      <c r="AS21">
        <v>89</v>
      </c>
      <c r="AT21">
        <v>8.3883129123468407</v>
      </c>
      <c r="AU21" s="1">
        <f t="shared" si="11"/>
        <v>8.39</v>
      </c>
    </row>
    <row r="22" spans="1:47" x14ac:dyDescent="0.2">
      <c r="A22" t="s">
        <v>53</v>
      </c>
      <c r="B22" t="s">
        <v>42</v>
      </c>
      <c r="C22">
        <v>-6</v>
      </c>
      <c r="D22">
        <v>-10.6216216216216</v>
      </c>
      <c r="E22">
        <v>-72</v>
      </c>
      <c r="F22">
        <v>4</v>
      </c>
      <c r="G22">
        <v>15.4782129160661</v>
      </c>
      <c r="H22" s="1" t="str">
        <f t="shared" si="0"/>
        <v>-6 [-72, 4]</v>
      </c>
      <c r="I22" s="1" t="str">
        <f t="shared" si="1"/>
        <v>-6 +/-15.5</v>
      </c>
      <c r="J22">
        <v>41</v>
      </c>
      <c r="K22">
        <v>74.918918918918905</v>
      </c>
      <c r="L22">
        <v>3</v>
      </c>
      <c r="M22">
        <v>275</v>
      </c>
      <c r="N22">
        <v>79.287934621710093</v>
      </c>
      <c r="O22" s="1" t="str">
        <f t="shared" si="2"/>
        <v>41 [3, 275]</v>
      </c>
      <c r="P22" s="1" t="str">
        <f t="shared" si="3"/>
        <v>41 +/-79.3</v>
      </c>
      <c r="Q22">
        <v>236</v>
      </c>
      <c r="R22">
        <v>348.86438108108098</v>
      </c>
      <c r="S22">
        <v>4</v>
      </c>
      <c r="T22">
        <v>1244.0021999999999</v>
      </c>
      <c r="U22">
        <v>343.63847694075002</v>
      </c>
      <c r="V22" s="1" t="str">
        <f t="shared" si="4"/>
        <v>236 [4, 1244]</v>
      </c>
      <c r="W22" s="1" t="str">
        <f t="shared" si="5"/>
        <v>236 +/-343.6</v>
      </c>
      <c r="X22">
        <v>276</v>
      </c>
      <c r="Y22">
        <v>263.10810810810801</v>
      </c>
      <c r="Z22">
        <v>30</v>
      </c>
      <c r="AA22">
        <v>473</v>
      </c>
      <c r="AB22">
        <v>120.337207643952</v>
      </c>
      <c r="AC22" s="1" t="str">
        <f t="shared" si="6"/>
        <v>276 [30, 473]</v>
      </c>
      <c r="AD22" s="1" t="str">
        <f t="shared" si="7"/>
        <v>276 +/-120.3</v>
      </c>
      <c r="AE22">
        <v>10</v>
      </c>
      <c r="AF22">
        <v>12.7027027027027</v>
      </c>
      <c r="AG22">
        <v>0</v>
      </c>
      <c r="AH22">
        <v>43</v>
      </c>
      <c r="AI22">
        <v>12.3149973268028</v>
      </c>
      <c r="AJ22" s="1" t="str">
        <f t="shared" si="8"/>
        <v>10 [0, 43]</v>
      </c>
      <c r="AK22" s="1" t="str">
        <f t="shared" si="9"/>
        <v>10 +/-12.3</v>
      </c>
      <c r="AL22">
        <v>0.50209205000000001</v>
      </c>
      <c r="AM22">
        <v>0.49277536408108102</v>
      </c>
      <c r="AN22">
        <v>0</v>
      </c>
      <c r="AO22">
        <v>0.82474226799999995</v>
      </c>
      <c r="AP22">
        <v>0.205536135626466</v>
      </c>
      <c r="AQ22" s="1" t="str">
        <f t="shared" si="12"/>
        <v>0.5 [0, 0.8]</v>
      </c>
      <c r="AR22" s="1" t="str">
        <f t="shared" si="10"/>
        <v>0.5 +/-0.2</v>
      </c>
      <c r="AS22">
        <v>37</v>
      </c>
      <c r="AT22">
        <v>3.4872761545711599</v>
      </c>
      <c r="AU22" s="1">
        <f t="shared" si="11"/>
        <v>3.49</v>
      </c>
    </row>
    <row r="23" spans="1:47" x14ac:dyDescent="0.2">
      <c r="A23" t="s">
        <v>53</v>
      </c>
      <c r="B23" t="s">
        <v>41</v>
      </c>
      <c r="C23">
        <v>-5.5</v>
      </c>
      <c r="D23">
        <v>-9.546875</v>
      </c>
      <c r="E23">
        <v>-51</v>
      </c>
      <c r="F23">
        <v>0</v>
      </c>
      <c r="G23">
        <v>11.2277005624765</v>
      </c>
      <c r="H23" s="1" t="str">
        <f t="shared" si="0"/>
        <v>-5.5 [-51, 0]</v>
      </c>
      <c r="I23" s="1" t="str">
        <f t="shared" si="1"/>
        <v>-5.5 +/-11.2</v>
      </c>
      <c r="J23">
        <v>8</v>
      </c>
      <c r="K23">
        <v>9.203125</v>
      </c>
      <c r="L23">
        <v>2</v>
      </c>
      <c r="M23">
        <v>26</v>
      </c>
      <c r="N23">
        <v>5.3100075852634703</v>
      </c>
      <c r="O23" s="1" t="str">
        <f t="shared" si="2"/>
        <v>8 [2, 26]</v>
      </c>
      <c r="P23" s="1" t="str">
        <f t="shared" si="3"/>
        <v>8 +/-5.3</v>
      </c>
      <c r="Q23">
        <v>22.000299999999999</v>
      </c>
      <c r="R23">
        <v>38.108343750000003</v>
      </c>
      <c r="S23">
        <v>3.9832999999999998</v>
      </c>
      <c r="T23">
        <v>122.0061</v>
      </c>
      <c r="U23">
        <v>32.5945318214373</v>
      </c>
      <c r="V23" s="1" t="str">
        <f t="shared" si="4"/>
        <v>22 [4, 122]</v>
      </c>
      <c r="W23" s="1" t="str">
        <f t="shared" si="5"/>
        <v>22 +/-32.6</v>
      </c>
      <c r="X23">
        <v>195</v>
      </c>
      <c r="Y23">
        <v>180.578125</v>
      </c>
      <c r="Z23">
        <v>18</v>
      </c>
      <c r="AA23">
        <v>471</v>
      </c>
      <c r="AB23">
        <v>101.380127774331</v>
      </c>
      <c r="AC23" s="1" t="str">
        <f t="shared" si="6"/>
        <v>195 [18, 471]</v>
      </c>
      <c r="AD23" s="1" t="str">
        <f t="shared" si="7"/>
        <v>195 +/-101.4</v>
      </c>
      <c r="AE23">
        <v>1</v>
      </c>
      <c r="AF23">
        <v>1.125</v>
      </c>
      <c r="AG23">
        <v>0</v>
      </c>
      <c r="AH23">
        <v>5</v>
      </c>
      <c r="AI23">
        <v>1.2786401506759599</v>
      </c>
      <c r="AJ23" s="1" t="str">
        <f t="shared" si="8"/>
        <v>1 [0, 5]</v>
      </c>
      <c r="AK23" s="1" t="str">
        <f t="shared" si="9"/>
        <v>1 +/-1.3</v>
      </c>
      <c r="AL23">
        <v>0.36931818199999999</v>
      </c>
      <c r="AM23">
        <v>0.33066612162499998</v>
      </c>
      <c r="AN23">
        <v>0</v>
      </c>
      <c r="AO23">
        <v>0.93548387099999997</v>
      </c>
      <c r="AP23">
        <v>0.31750854435654002</v>
      </c>
      <c r="AQ23" s="1" t="str">
        <f t="shared" si="12"/>
        <v>0.4 [0, 0.9]</v>
      </c>
      <c r="AR23" s="1" t="str">
        <f t="shared" si="10"/>
        <v>0.4 +/-0.3</v>
      </c>
      <c r="AS23">
        <v>64</v>
      </c>
      <c r="AT23">
        <v>6.0320452403392997</v>
      </c>
      <c r="AU23" s="1">
        <f t="shared" si="11"/>
        <v>6.03</v>
      </c>
    </row>
    <row r="24" spans="1:47" x14ac:dyDescent="0.2">
      <c r="A24" t="s">
        <v>53</v>
      </c>
      <c r="B24" t="s">
        <v>39</v>
      </c>
      <c r="C24">
        <v>-7</v>
      </c>
      <c r="D24">
        <v>-13.1428571428571</v>
      </c>
      <c r="E24">
        <v>-111</v>
      </c>
      <c r="F24">
        <v>3</v>
      </c>
      <c r="G24">
        <v>23.3608341338354</v>
      </c>
      <c r="H24" s="1" t="str">
        <f t="shared" si="0"/>
        <v>-7 [-111, 3]</v>
      </c>
      <c r="I24" s="1" t="str">
        <f t="shared" si="1"/>
        <v>-7 +/-23.4</v>
      </c>
      <c r="J24">
        <v>9</v>
      </c>
      <c r="K24">
        <v>13.3333333333333</v>
      </c>
      <c r="L24">
        <v>2</v>
      </c>
      <c r="M24">
        <v>50</v>
      </c>
      <c r="N24">
        <v>14.1114610630272</v>
      </c>
      <c r="O24" s="1" t="str">
        <f t="shared" si="2"/>
        <v>9 [2, 50]</v>
      </c>
      <c r="P24" s="1" t="str">
        <f t="shared" si="3"/>
        <v>9 +/-14.1</v>
      </c>
      <c r="Q24">
        <v>26.0108</v>
      </c>
      <c r="R24">
        <v>53.427347619047602</v>
      </c>
      <c r="S24">
        <v>1.9675</v>
      </c>
      <c r="T24">
        <v>142</v>
      </c>
      <c r="U24">
        <v>51.401584394176197</v>
      </c>
      <c r="V24" s="1" t="str">
        <f t="shared" si="4"/>
        <v>26 [2, 142]</v>
      </c>
      <c r="W24" s="1" t="str">
        <f t="shared" si="5"/>
        <v>26 +/-51.4</v>
      </c>
      <c r="X24">
        <v>155</v>
      </c>
      <c r="Y24">
        <v>188.23809523809501</v>
      </c>
      <c r="Z24">
        <v>24</v>
      </c>
      <c r="AA24">
        <v>473</v>
      </c>
      <c r="AB24">
        <v>131.80512310297499</v>
      </c>
      <c r="AC24" s="1" t="str">
        <f t="shared" si="6"/>
        <v>155 [24, 473]</v>
      </c>
      <c r="AD24" s="1" t="str">
        <f t="shared" si="7"/>
        <v>155 +/-131.8</v>
      </c>
      <c r="AE24">
        <v>1</v>
      </c>
      <c r="AF24">
        <v>1.3333333333333299</v>
      </c>
      <c r="AG24">
        <v>0</v>
      </c>
      <c r="AH24">
        <v>5</v>
      </c>
      <c r="AI24">
        <v>1.5275252316519501</v>
      </c>
      <c r="AJ24" s="1" t="str">
        <f t="shared" si="8"/>
        <v>1 [0, 5]</v>
      </c>
      <c r="AK24" s="1" t="str">
        <f t="shared" si="9"/>
        <v>1 +/-1.5</v>
      </c>
      <c r="AL24">
        <v>0.40277777799999998</v>
      </c>
      <c r="AM24">
        <v>0.35409683271428599</v>
      </c>
      <c r="AN24">
        <v>0</v>
      </c>
      <c r="AO24">
        <v>0.85106382999999997</v>
      </c>
      <c r="AP24">
        <v>0.321435062695764</v>
      </c>
      <c r="AQ24" s="1" t="str">
        <f t="shared" si="12"/>
        <v>0.4 [0, 0.9]</v>
      </c>
      <c r="AR24" s="1" t="str">
        <f t="shared" si="10"/>
        <v>0.4 +/-0.3</v>
      </c>
      <c r="AS24">
        <v>21</v>
      </c>
      <c r="AT24">
        <v>1.9792648444863301</v>
      </c>
      <c r="AU24" s="1">
        <f t="shared" si="11"/>
        <v>1.98</v>
      </c>
    </row>
  </sheetData>
  <autoFilter ref="A1:AU24" xr:uid="{5574719F-986C-824C-9B49-FEA07311A1CF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0709-F7A2-184B-9887-E63C0B06A190}">
  <dimension ref="A1:AN21"/>
  <sheetViews>
    <sheetView workbookViewId="0">
      <pane xSplit="1" topLeftCell="K1" activePane="topRight" state="frozen"/>
      <selection pane="topRight" activeCell="T2" sqref="T2"/>
    </sheetView>
  </sheetViews>
  <sheetFormatPr baseColWidth="10" defaultRowHeight="16" x14ac:dyDescent="0.2"/>
  <cols>
    <col min="27" max="27" width="14" customWidth="1"/>
  </cols>
  <sheetData>
    <row r="1" spans="1:40" x14ac:dyDescent="0.2">
      <c r="A1" t="s">
        <v>55</v>
      </c>
      <c r="B1" t="s">
        <v>65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67</v>
      </c>
      <c r="R1" t="s">
        <v>15</v>
      </c>
      <c r="S1" s="1" t="s">
        <v>44</v>
      </c>
      <c r="T1" s="1" t="s">
        <v>69</v>
      </c>
      <c r="U1" t="s">
        <v>16</v>
      </c>
      <c r="V1" t="s">
        <v>17</v>
      </c>
      <c r="W1" t="s">
        <v>18</v>
      </c>
      <c r="X1" t="s">
        <v>19</v>
      </c>
      <c r="Y1" t="s">
        <v>68</v>
      </c>
      <c r="Z1" t="s">
        <v>20</v>
      </c>
      <c r="AA1" s="1" t="s">
        <v>47</v>
      </c>
      <c r="AB1" s="1" t="s">
        <v>47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s="1" t="s">
        <v>66</v>
      </c>
    </row>
    <row r="2" spans="1:40" x14ac:dyDescent="0.2">
      <c r="A2" t="s">
        <v>56</v>
      </c>
      <c r="B2" t="s">
        <v>53</v>
      </c>
      <c r="C2">
        <v>-8</v>
      </c>
      <c r="D2">
        <v>-12.81818182</v>
      </c>
      <c r="E2">
        <v>-139</v>
      </c>
      <c r="F2">
        <v>5</v>
      </c>
      <c r="G2">
        <v>17.88900709</v>
      </c>
      <c r="H2">
        <v>12</v>
      </c>
      <c r="I2">
        <v>17.013774099999999</v>
      </c>
      <c r="J2">
        <v>2</v>
      </c>
      <c r="K2">
        <v>112</v>
      </c>
      <c r="L2">
        <v>16.198264959999999</v>
      </c>
      <c r="M2">
        <v>55.9831</v>
      </c>
      <c r="N2">
        <v>80.872977410000004</v>
      </c>
      <c r="O2">
        <v>1.9675</v>
      </c>
      <c r="P2">
        <v>714.00890000000004</v>
      </c>
      <c r="Q2">
        <v>76.988650000000007</v>
      </c>
      <c r="R2">
        <v>89.961662349999997</v>
      </c>
      <c r="S2" s="1" t="str">
        <f>_xlfn.CONCAT(ROUND(M2,1)," [", ROUND(Q2,1),"]")</f>
        <v>56 [77]</v>
      </c>
      <c r="T2" s="1" t="str">
        <f>_xlfn.CONCAT(ROUND(N2,1)," +/-", ROUND(R2,1))</f>
        <v>80.9 +/-90</v>
      </c>
      <c r="U2">
        <v>202</v>
      </c>
      <c r="V2">
        <v>198.7988981</v>
      </c>
      <c r="W2">
        <v>5</v>
      </c>
      <c r="X2">
        <v>490</v>
      </c>
      <c r="Y2">
        <v>145</v>
      </c>
      <c r="Z2">
        <v>103.0551577</v>
      </c>
      <c r="AA2" s="1" t="str">
        <f>_xlfn.CONCAT(ROUND(U2,2),"  [", ROUND(Y2,2),"]")</f>
        <v>202  [145]</v>
      </c>
      <c r="AB2" s="1" t="str">
        <f>_xlfn.CONCAT(ROUND(V2,1)," +/-", ROUND(Z2,1))</f>
        <v>198.8 +/-103.1</v>
      </c>
      <c r="AC2">
        <v>2</v>
      </c>
      <c r="AD2">
        <v>2.3774104679999999</v>
      </c>
      <c r="AE2">
        <v>0</v>
      </c>
      <c r="AF2">
        <v>19</v>
      </c>
      <c r="AG2">
        <v>2.7347239019999998</v>
      </c>
      <c r="AH2">
        <v>0.47826087</v>
      </c>
      <c r="AI2">
        <v>0.43079356600000002</v>
      </c>
      <c r="AJ2">
        <v>0</v>
      </c>
      <c r="AK2">
        <v>0.94285714300000001</v>
      </c>
      <c r="AL2">
        <v>0.291282186</v>
      </c>
      <c r="AM2">
        <v>363</v>
      </c>
      <c r="AN2" s="1">
        <v>34.2130066</v>
      </c>
    </row>
    <row r="3" spans="1:40" x14ac:dyDescent="0.2">
      <c r="A3" t="s">
        <v>36</v>
      </c>
      <c r="B3" t="s">
        <v>53</v>
      </c>
      <c r="C3">
        <v>-9</v>
      </c>
      <c r="D3">
        <v>-13.40298507</v>
      </c>
      <c r="E3">
        <v>-63</v>
      </c>
      <c r="F3">
        <v>7</v>
      </c>
      <c r="G3">
        <v>13.278998120000001</v>
      </c>
      <c r="H3">
        <v>7</v>
      </c>
      <c r="I3">
        <v>8.7860696520000001</v>
      </c>
      <c r="J3">
        <v>2</v>
      </c>
      <c r="K3">
        <v>69</v>
      </c>
      <c r="L3">
        <v>7.4296032849999998</v>
      </c>
      <c r="M3">
        <v>14.000299999999999</v>
      </c>
      <c r="N3">
        <v>40.577040799999999</v>
      </c>
      <c r="O3">
        <v>1.9903</v>
      </c>
      <c r="P3">
        <v>427.99250000000001</v>
      </c>
      <c r="Q3">
        <v>34</v>
      </c>
      <c r="R3">
        <v>60.204357399999999</v>
      </c>
      <c r="S3" s="1" t="str">
        <f t="shared" ref="S3:S21" si="0">_xlfn.CONCAT(ROUND(M3,1)," [", ROUND(Q3,1),"]")</f>
        <v>14 [34]</v>
      </c>
      <c r="T3" s="1" t="str">
        <f t="shared" ref="T3:T21" si="1">_xlfn.CONCAT(ROUND(N3,1)," +/-", ROUND(R3,1))</f>
        <v>40.6 +/-60.2</v>
      </c>
      <c r="U3">
        <v>121</v>
      </c>
      <c r="V3">
        <v>133.60199</v>
      </c>
      <c r="W3">
        <v>2</v>
      </c>
      <c r="X3">
        <v>402</v>
      </c>
      <c r="Y3">
        <v>142</v>
      </c>
      <c r="Z3">
        <v>91.913985859999997</v>
      </c>
      <c r="AA3" s="1" t="str">
        <f t="shared" ref="AA3:AA21" si="2">_xlfn.CONCAT(ROUND(U3,2),"  [", ROUND(Y3,2),"]")</f>
        <v>121  [142]</v>
      </c>
      <c r="AB3" s="1" t="str">
        <f t="shared" ref="AB3:AB21" si="3">_xlfn.CONCAT(ROUND(V3,1)," +/-", ROUND(Z3,1))</f>
        <v>133.6 +/-91.9</v>
      </c>
      <c r="AC3">
        <v>0</v>
      </c>
      <c r="AD3">
        <v>0.88059701499999998</v>
      </c>
      <c r="AE3">
        <v>0</v>
      </c>
      <c r="AF3">
        <v>12</v>
      </c>
      <c r="AG3">
        <v>1.644892593</v>
      </c>
      <c r="AH3">
        <v>0</v>
      </c>
      <c r="AI3">
        <v>0.251016509</v>
      </c>
      <c r="AJ3">
        <v>0</v>
      </c>
      <c r="AK3">
        <v>0.91489361700000005</v>
      </c>
      <c r="AL3">
        <v>0.33057183000000001</v>
      </c>
      <c r="AM3">
        <v>201</v>
      </c>
      <c r="AN3" s="1">
        <v>18.94439208</v>
      </c>
    </row>
    <row r="4" spans="1:40" x14ac:dyDescent="0.2">
      <c r="A4" t="s">
        <v>57</v>
      </c>
      <c r="B4" t="s">
        <v>53</v>
      </c>
      <c r="C4">
        <v>-14</v>
      </c>
      <c r="D4">
        <v>-18.0859375</v>
      </c>
      <c r="E4">
        <v>-59</v>
      </c>
      <c r="F4">
        <v>7</v>
      </c>
      <c r="G4">
        <v>15.47923544</v>
      </c>
      <c r="H4">
        <v>7</v>
      </c>
      <c r="I4">
        <v>8.421875</v>
      </c>
      <c r="J4">
        <v>2</v>
      </c>
      <c r="K4">
        <v>75</v>
      </c>
      <c r="L4">
        <v>8.4355914290000005</v>
      </c>
      <c r="M4">
        <v>16</v>
      </c>
      <c r="N4">
        <v>38.311439059999998</v>
      </c>
      <c r="O4">
        <v>1.9972000000000001</v>
      </c>
      <c r="P4">
        <v>255.99889999999999</v>
      </c>
      <c r="Q4">
        <v>44.5</v>
      </c>
      <c r="R4">
        <v>49.645965750000002</v>
      </c>
      <c r="S4" s="1" t="str">
        <f t="shared" si="0"/>
        <v>16 [44.5]</v>
      </c>
      <c r="T4" s="1" t="str">
        <f t="shared" si="1"/>
        <v>38.3 +/-49.6</v>
      </c>
      <c r="U4">
        <v>147</v>
      </c>
      <c r="V4">
        <v>154.2578125</v>
      </c>
      <c r="W4">
        <v>1</v>
      </c>
      <c r="X4">
        <v>497</v>
      </c>
      <c r="Y4">
        <v>142.5</v>
      </c>
      <c r="Z4">
        <v>100.9358763</v>
      </c>
      <c r="AA4" s="1" t="str">
        <f t="shared" si="2"/>
        <v>147  [142.5]</v>
      </c>
      <c r="AB4" s="1" t="str">
        <f t="shared" si="3"/>
        <v>154.3 +/-100.9</v>
      </c>
      <c r="AC4">
        <v>0</v>
      </c>
      <c r="AD4">
        <v>0.9609375</v>
      </c>
      <c r="AE4">
        <v>0</v>
      </c>
      <c r="AF4">
        <v>9</v>
      </c>
      <c r="AG4">
        <v>1.4494220609999999</v>
      </c>
      <c r="AH4">
        <v>0</v>
      </c>
      <c r="AI4">
        <v>0.26718577300000002</v>
      </c>
      <c r="AJ4">
        <v>0</v>
      </c>
      <c r="AK4">
        <v>0.93877551000000004</v>
      </c>
      <c r="AL4">
        <v>0.34112661399999999</v>
      </c>
      <c r="AM4">
        <v>128</v>
      </c>
      <c r="AN4" s="1">
        <v>12.064090480000001</v>
      </c>
    </row>
    <row r="5" spans="1:40" x14ac:dyDescent="0.2">
      <c r="A5" t="s">
        <v>35</v>
      </c>
      <c r="B5" t="s">
        <v>53</v>
      </c>
      <c r="C5">
        <v>0</v>
      </c>
      <c r="D5">
        <v>-1.3541666670000001</v>
      </c>
      <c r="E5">
        <v>-42</v>
      </c>
      <c r="F5">
        <v>20</v>
      </c>
      <c r="G5">
        <v>13.767815669999999</v>
      </c>
      <c r="H5">
        <v>6</v>
      </c>
      <c r="I5">
        <v>10.0625</v>
      </c>
      <c r="J5">
        <v>2</v>
      </c>
      <c r="K5">
        <v>80</v>
      </c>
      <c r="L5">
        <v>13.053745279999999</v>
      </c>
      <c r="M5">
        <v>19.001249999999999</v>
      </c>
      <c r="N5">
        <v>44.708054169999997</v>
      </c>
      <c r="O5">
        <v>1.9950000000000001</v>
      </c>
      <c r="P5">
        <v>280</v>
      </c>
      <c r="Q5">
        <v>43.013725000000001</v>
      </c>
      <c r="R5">
        <v>60.370464740000003</v>
      </c>
      <c r="S5" s="1" t="str">
        <f t="shared" si="0"/>
        <v>19 [43]</v>
      </c>
      <c r="T5" s="1" t="str">
        <f t="shared" si="1"/>
        <v>44.7 +/-60.4</v>
      </c>
      <c r="U5">
        <v>188</v>
      </c>
      <c r="V5">
        <v>174.54166670000001</v>
      </c>
      <c r="W5">
        <v>12</v>
      </c>
      <c r="X5">
        <v>397</v>
      </c>
      <c r="Y5">
        <v>125</v>
      </c>
      <c r="Z5">
        <v>89.128632440000004</v>
      </c>
      <c r="AA5" s="1" t="str">
        <f t="shared" si="2"/>
        <v>188  [125]</v>
      </c>
      <c r="AB5" s="1" t="str">
        <f t="shared" si="3"/>
        <v>174.5 +/-89.1</v>
      </c>
      <c r="AC5">
        <v>0</v>
      </c>
      <c r="AD5">
        <v>1</v>
      </c>
      <c r="AE5">
        <v>0</v>
      </c>
      <c r="AF5">
        <v>7</v>
      </c>
      <c r="AG5">
        <v>1.675861163</v>
      </c>
      <c r="AH5">
        <v>0</v>
      </c>
      <c r="AI5">
        <v>0.30221898000000003</v>
      </c>
      <c r="AJ5">
        <v>0</v>
      </c>
      <c r="AK5">
        <v>0.94505494499999998</v>
      </c>
      <c r="AL5">
        <v>0.34848459599999998</v>
      </c>
      <c r="AM5">
        <v>48</v>
      </c>
      <c r="AN5" s="1">
        <v>4.5240339299999999</v>
      </c>
    </row>
    <row r="6" spans="1:40" x14ac:dyDescent="0.2">
      <c r="A6" t="s">
        <v>43</v>
      </c>
      <c r="B6" t="s">
        <v>53</v>
      </c>
      <c r="C6">
        <v>-16.5</v>
      </c>
      <c r="D6">
        <v>-19.333333329999999</v>
      </c>
      <c r="E6">
        <v>-55</v>
      </c>
      <c r="F6">
        <v>5</v>
      </c>
      <c r="G6">
        <v>14.154459299999999</v>
      </c>
      <c r="H6">
        <v>27.5</v>
      </c>
      <c r="I6">
        <v>51.10606061</v>
      </c>
      <c r="J6">
        <v>2</v>
      </c>
      <c r="K6">
        <v>271</v>
      </c>
      <c r="L6">
        <v>60.519069799999997</v>
      </c>
      <c r="M6">
        <v>165</v>
      </c>
      <c r="N6">
        <v>268.84937120000001</v>
      </c>
      <c r="O6">
        <v>5.9943999999999997</v>
      </c>
      <c r="P6">
        <v>1402</v>
      </c>
      <c r="Q6">
        <v>244.98855</v>
      </c>
      <c r="R6">
        <v>295.27026469999998</v>
      </c>
      <c r="S6" s="1" t="str">
        <f t="shared" si="0"/>
        <v>165 [245]</v>
      </c>
      <c r="T6" s="1" t="str">
        <f t="shared" si="1"/>
        <v>268.8 +/-295.3</v>
      </c>
      <c r="U6">
        <v>296.5</v>
      </c>
      <c r="V6">
        <v>278.969697</v>
      </c>
      <c r="W6">
        <v>52</v>
      </c>
      <c r="X6">
        <v>595</v>
      </c>
      <c r="Y6">
        <v>143.5</v>
      </c>
      <c r="Z6">
        <v>116.19929430000001</v>
      </c>
      <c r="AA6" s="1" t="str">
        <f t="shared" si="2"/>
        <v>296.5  [143.5]</v>
      </c>
      <c r="AB6" s="1" t="str">
        <f t="shared" si="3"/>
        <v>279 +/-116.2</v>
      </c>
      <c r="AC6">
        <v>5</v>
      </c>
      <c r="AD6">
        <v>8.2727272729999992</v>
      </c>
      <c r="AE6">
        <v>0</v>
      </c>
      <c r="AF6">
        <v>41</v>
      </c>
      <c r="AG6">
        <v>9.8223378930000003</v>
      </c>
      <c r="AH6">
        <v>0.56158326199999997</v>
      </c>
      <c r="AI6">
        <v>0.527178539</v>
      </c>
      <c r="AJ6">
        <v>0</v>
      </c>
      <c r="AK6">
        <v>0.89655172400000005</v>
      </c>
      <c r="AL6">
        <v>0.228674922</v>
      </c>
      <c r="AM6">
        <v>66</v>
      </c>
      <c r="AN6" s="1">
        <v>6.2205466539999996</v>
      </c>
    </row>
    <row r="7" spans="1:40" x14ac:dyDescent="0.2">
      <c r="A7" t="s">
        <v>58</v>
      </c>
      <c r="B7" t="s">
        <v>53</v>
      </c>
      <c r="C7">
        <v>-11</v>
      </c>
      <c r="D7">
        <v>-21</v>
      </c>
      <c r="E7">
        <v>-62</v>
      </c>
      <c r="F7">
        <v>0</v>
      </c>
      <c r="G7">
        <v>18.682571060000001</v>
      </c>
      <c r="H7">
        <v>8</v>
      </c>
      <c r="I7">
        <v>14.169811320000001</v>
      </c>
      <c r="J7">
        <v>2</v>
      </c>
      <c r="K7">
        <v>77</v>
      </c>
      <c r="L7">
        <v>14.05310785</v>
      </c>
      <c r="M7">
        <v>36.008899999999997</v>
      </c>
      <c r="N7">
        <v>70.904967920000004</v>
      </c>
      <c r="O7">
        <v>2</v>
      </c>
      <c r="P7">
        <v>520.00059999999996</v>
      </c>
      <c r="Q7">
        <v>60.001399999999997</v>
      </c>
      <c r="R7">
        <v>105.9774008</v>
      </c>
      <c r="S7" s="1" t="str">
        <f t="shared" si="0"/>
        <v>36 [60]</v>
      </c>
      <c r="T7" s="1" t="str">
        <f t="shared" si="1"/>
        <v>70.9 +/-106</v>
      </c>
      <c r="U7">
        <v>174</v>
      </c>
      <c r="V7">
        <v>181.96226419999999</v>
      </c>
      <c r="W7">
        <v>6</v>
      </c>
      <c r="X7">
        <v>661</v>
      </c>
      <c r="Y7">
        <v>157</v>
      </c>
      <c r="Z7">
        <v>132.03903299999999</v>
      </c>
      <c r="AA7" s="1" t="str">
        <f t="shared" si="2"/>
        <v>174  [157]</v>
      </c>
      <c r="AB7" s="1" t="str">
        <f t="shared" si="3"/>
        <v>182 +/-132</v>
      </c>
      <c r="AC7">
        <v>1</v>
      </c>
      <c r="AD7">
        <v>2</v>
      </c>
      <c r="AE7">
        <v>0</v>
      </c>
      <c r="AF7">
        <v>16</v>
      </c>
      <c r="AG7">
        <v>3.4862366749999998</v>
      </c>
      <c r="AH7">
        <v>0.12903225800000001</v>
      </c>
      <c r="AI7">
        <v>0.30446463699999998</v>
      </c>
      <c r="AJ7">
        <v>0</v>
      </c>
      <c r="AK7">
        <v>0.93181818199999999</v>
      </c>
      <c r="AL7">
        <v>0.34548802299999998</v>
      </c>
      <c r="AM7">
        <v>53</v>
      </c>
      <c r="AN7" s="1">
        <v>4.9952874649999996</v>
      </c>
    </row>
    <row r="8" spans="1:40" x14ac:dyDescent="0.2">
      <c r="A8" t="s">
        <v>37</v>
      </c>
      <c r="B8" t="s">
        <v>53</v>
      </c>
      <c r="C8">
        <v>-7</v>
      </c>
      <c r="D8">
        <v>-18.707865170000002</v>
      </c>
      <c r="E8">
        <v>-250</v>
      </c>
      <c r="F8">
        <v>6</v>
      </c>
      <c r="G8">
        <v>38.159117299999998</v>
      </c>
      <c r="H8">
        <v>8</v>
      </c>
      <c r="I8">
        <v>11.943820219999999</v>
      </c>
      <c r="J8">
        <v>2</v>
      </c>
      <c r="K8">
        <v>57</v>
      </c>
      <c r="L8">
        <v>12.174264539999999</v>
      </c>
      <c r="M8">
        <v>38</v>
      </c>
      <c r="N8">
        <v>87.93088539</v>
      </c>
      <c r="O8">
        <v>1.9833000000000001</v>
      </c>
      <c r="P8">
        <v>980.00220000000002</v>
      </c>
      <c r="Q8">
        <v>94.003600000000006</v>
      </c>
      <c r="R8">
        <v>145.94251879999999</v>
      </c>
      <c r="S8" s="1" t="str">
        <f t="shared" si="0"/>
        <v>38 [94]</v>
      </c>
      <c r="T8" s="1" t="str">
        <f t="shared" si="1"/>
        <v>87.9 +/-145.9</v>
      </c>
      <c r="U8">
        <v>184</v>
      </c>
      <c r="V8">
        <v>197.67415729999999</v>
      </c>
      <c r="W8">
        <v>11</v>
      </c>
      <c r="X8">
        <v>506</v>
      </c>
      <c r="Y8">
        <v>152</v>
      </c>
      <c r="Z8">
        <v>105.71077339999999</v>
      </c>
      <c r="AA8" s="1" t="str">
        <f t="shared" si="2"/>
        <v>184  [152]</v>
      </c>
      <c r="AB8" s="1" t="str">
        <f t="shared" si="3"/>
        <v>197.7 +/-105.7</v>
      </c>
      <c r="AC8">
        <v>1</v>
      </c>
      <c r="AD8">
        <v>2.4719101120000002</v>
      </c>
      <c r="AE8">
        <v>0</v>
      </c>
      <c r="AF8">
        <v>20</v>
      </c>
      <c r="AG8">
        <v>3.5067787849999998</v>
      </c>
      <c r="AH8">
        <v>0.428571429</v>
      </c>
      <c r="AI8">
        <v>0.44371986200000002</v>
      </c>
      <c r="AJ8">
        <v>0</v>
      </c>
      <c r="AK8">
        <v>0.94117647100000001</v>
      </c>
      <c r="AL8">
        <v>0.37262235900000001</v>
      </c>
      <c r="AM8">
        <v>89</v>
      </c>
      <c r="AN8" s="1">
        <v>8.388312912</v>
      </c>
    </row>
    <row r="9" spans="1:40" x14ac:dyDescent="0.2">
      <c r="A9" t="s">
        <v>42</v>
      </c>
      <c r="B9" t="s">
        <v>53</v>
      </c>
      <c r="C9">
        <v>-6</v>
      </c>
      <c r="D9">
        <v>-10.621621620000001</v>
      </c>
      <c r="E9">
        <v>-72</v>
      </c>
      <c r="F9">
        <v>4</v>
      </c>
      <c r="G9">
        <v>15.478212920000001</v>
      </c>
      <c r="H9">
        <v>41</v>
      </c>
      <c r="I9">
        <v>74.918918919999996</v>
      </c>
      <c r="J9">
        <v>3</v>
      </c>
      <c r="K9">
        <v>275</v>
      </c>
      <c r="L9">
        <v>79.287934620000001</v>
      </c>
      <c r="M9">
        <v>236</v>
      </c>
      <c r="N9">
        <v>348.8643811</v>
      </c>
      <c r="O9">
        <v>4</v>
      </c>
      <c r="P9">
        <v>1244.0021999999999</v>
      </c>
      <c r="Q9">
        <v>387.98110000000003</v>
      </c>
      <c r="R9">
        <v>343.6384769</v>
      </c>
      <c r="S9" s="1" t="str">
        <f t="shared" si="0"/>
        <v>236 [388]</v>
      </c>
      <c r="T9" s="1" t="str">
        <f t="shared" si="1"/>
        <v>348.9 +/-343.6</v>
      </c>
      <c r="U9">
        <v>276</v>
      </c>
      <c r="V9">
        <v>263.10810809999998</v>
      </c>
      <c r="W9">
        <v>30</v>
      </c>
      <c r="X9">
        <v>473</v>
      </c>
      <c r="Y9">
        <v>208</v>
      </c>
      <c r="Z9">
        <v>120.3372076</v>
      </c>
      <c r="AA9" s="1" t="str">
        <f t="shared" si="2"/>
        <v>276  [208]</v>
      </c>
      <c r="AB9" s="1" t="str">
        <f t="shared" si="3"/>
        <v>263.1 +/-120.3</v>
      </c>
      <c r="AC9">
        <v>10</v>
      </c>
      <c r="AD9">
        <v>12.7027027</v>
      </c>
      <c r="AE9">
        <v>0</v>
      </c>
      <c r="AF9">
        <v>43</v>
      </c>
      <c r="AG9">
        <v>12.314997330000001</v>
      </c>
      <c r="AH9">
        <v>0.50209205000000001</v>
      </c>
      <c r="AI9">
        <v>0.49277536399999999</v>
      </c>
      <c r="AJ9">
        <v>0</v>
      </c>
      <c r="AK9">
        <v>0.82474226799999995</v>
      </c>
      <c r="AL9">
        <v>0.20553613600000001</v>
      </c>
      <c r="AM9">
        <v>37</v>
      </c>
      <c r="AN9" s="1">
        <v>3.487276155</v>
      </c>
    </row>
    <row r="10" spans="1:40" x14ac:dyDescent="0.2">
      <c r="A10" t="s">
        <v>59</v>
      </c>
      <c r="B10" t="s">
        <v>53</v>
      </c>
      <c r="C10">
        <v>-11.5</v>
      </c>
      <c r="D10">
        <v>-15.66666667</v>
      </c>
      <c r="E10">
        <v>-59</v>
      </c>
      <c r="F10">
        <v>0</v>
      </c>
      <c r="G10">
        <v>15.962863410000001</v>
      </c>
      <c r="H10">
        <v>7</v>
      </c>
      <c r="I10">
        <v>7.5</v>
      </c>
      <c r="J10">
        <v>2</v>
      </c>
      <c r="K10">
        <v>18</v>
      </c>
      <c r="L10">
        <v>4.2383268669999996</v>
      </c>
      <c r="M10">
        <v>19.990300000000001</v>
      </c>
      <c r="N10">
        <v>38.429307139999999</v>
      </c>
      <c r="O10">
        <v>2</v>
      </c>
      <c r="P10">
        <v>204</v>
      </c>
      <c r="Q10">
        <v>23.002025</v>
      </c>
      <c r="R10">
        <v>53.8010017</v>
      </c>
      <c r="S10" s="1" t="str">
        <f t="shared" si="0"/>
        <v>20 [23]</v>
      </c>
      <c r="T10" s="1" t="str">
        <f t="shared" si="1"/>
        <v>38.4 +/-53.8</v>
      </c>
      <c r="U10">
        <v>89.5</v>
      </c>
      <c r="V10">
        <v>122.4761905</v>
      </c>
      <c r="W10">
        <v>11</v>
      </c>
      <c r="X10">
        <v>353</v>
      </c>
      <c r="Y10">
        <v>149.5</v>
      </c>
      <c r="Z10">
        <v>87.452353049999999</v>
      </c>
      <c r="AA10" s="1" t="str">
        <f t="shared" si="2"/>
        <v>89.5  [149.5]</v>
      </c>
      <c r="AB10" s="1" t="str">
        <f t="shared" si="3"/>
        <v>122.5 +/-87.5</v>
      </c>
      <c r="AC10">
        <v>0</v>
      </c>
      <c r="AD10">
        <v>0.95238095199999995</v>
      </c>
      <c r="AE10">
        <v>0</v>
      </c>
      <c r="AF10">
        <v>7</v>
      </c>
      <c r="AG10">
        <v>1.6667828069999999</v>
      </c>
      <c r="AH10">
        <v>0</v>
      </c>
      <c r="AI10">
        <v>0.25121280499999998</v>
      </c>
      <c r="AJ10">
        <v>0</v>
      </c>
      <c r="AK10">
        <v>0.89411764699999996</v>
      </c>
      <c r="AL10">
        <v>0.34334408100000002</v>
      </c>
      <c r="AM10">
        <v>42</v>
      </c>
      <c r="AN10" s="1">
        <v>3.9585296890000001</v>
      </c>
    </row>
    <row r="11" spans="1:40" x14ac:dyDescent="0.2">
      <c r="A11" t="s">
        <v>60</v>
      </c>
      <c r="B11" t="s">
        <v>53</v>
      </c>
      <c r="C11">
        <v>-5</v>
      </c>
      <c r="D11">
        <v>-14</v>
      </c>
      <c r="E11">
        <v>-43</v>
      </c>
      <c r="F11">
        <v>-1</v>
      </c>
      <c r="G11">
        <v>15.26901625</v>
      </c>
      <c r="H11">
        <v>7</v>
      </c>
      <c r="I11">
        <v>9.25</v>
      </c>
      <c r="J11">
        <v>2</v>
      </c>
      <c r="K11">
        <v>21</v>
      </c>
      <c r="L11">
        <v>5.9701639130000004</v>
      </c>
      <c r="M11">
        <v>44.00835</v>
      </c>
      <c r="N11">
        <v>51.506774999999998</v>
      </c>
      <c r="O11">
        <v>5.9874999999999998</v>
      </c>
      <c r="P11">
        <v>118</v>
      </c>
      <c r="Q11">
        <v>63.010849999999998</v>
      </c>
      <c r="R11">
        <v>41.184540079999998</v>
      </c>
      <c r="S11" s="1" t="str">
        <f t="shared" si="0"/>
        <v>44 [63]</v>
      </c>
      <c r="T11" s="1" t="str">
        <f t="shared" si="1"/>
        <v>51.5 +/-41.2</v>
      </c>
      <c r="U11">
        <v>225.5</v>
      </c>
      <c r="V11">
        <v>204.125</v>
      </c>
      <c r="W11">
        <v>35</v>
      </c>
      <c r="X11">
        <v>289</v>
      </c>
      <c r="Y11">
        <v>92</v>
      </c>
      <c r="Z11">
        <v>87.168863220000006</v>
      </c>
      <c r="AA11" s="1" t="str">
        <f t="shared" si="2"/>
        <v>225.5  [92]</v>
      </c>
      <c r="AB11" s="1" t="str">
        <f t="shared" si="3"/>
        <v>204.1 +/-87.2</v>
      </c>
      <c r="AC11">
        <v>1</v>
      </c>
      <c r="AD11">
        <v>2.125</v>
      </c>
      <c r="AE11">
        <v>0</v>
      </c>
      <c r="AF11">
        <v>5</v>
      </c>
      <c r="AG11">
        <v>1.8850918889999999</v>
      </c>
      <c r="AH11">
        <v>0.5</v>
      </c>
      <c r="AI11">
        <v>0.51251088499999997</v>
      </c>
      <c r="AJ11">
        <v>0</v>
      </c>
      <c r="AK11">
        <v>0.89655172400000005</v>
      </c>
      <c r="AL11">
        <v>0.25577388600000001</v>
      </c>
      <c r="AM11">
        <v>8</v>
      </c>
      <c r="AN11" s="1">
        <v>0.75400565500000005</v>
      </c>
    </row>
    <row r="12" spans="1:40" x14ac:dyDescent="0.2">
      <c r="A12" t="s">
        <v>61</v>
      </c>
      <c r="B12" t="s">
        <v>53</v>
      </c>
      <c r="C12">
        <v>-22</v>
      </c>
      <c r="D12">
        <v>-22.92</v>
      </c>
      <c r="E12">
        <v>-52</v>
      </c>
      <c r="F12">
        <v>5</v>
      </c>
      <c r="G12">
        <v>17.361163560000001</v>
      </c>
      <c r="H12">
        <v>7</v>
      </c>
      <c r="I12">
        <v>8.64</v>
      </c>
      <c r="J12">
        <v>2</v>
      </c>
      <c r="K12">
        <v>29</v>
      </c>
      <c r="L12">
        <v>6.4992307240000002</v>
      </c>
      <c r="M12">
        <v>22</v>
      </c>
      <c r="N12">
        <v>45.201543999999998</v>
      </c>
      <c r="O12">
        <v>2</v>
      </c>
      <c r="P12">
        <v>142.00970000000001</v>
      </c>
      <c r="Q12">
        <v>81.993600000000001</v>
      </c>
      <c r="R12">
        <v>45.239529279999999</v>
      </c>
      <c r="S12" s="1" t="str">
        <f t="shared" si="0"/>
        <v>22 [82]</v>
      </c>
      <c r="T12" s="1" t="str">
        <f t="shared" si="1"/>
        <v>45.2 +/-45.2</v>
      </c>
      <c r="U12">
        <v>113</v>
      </c>
      <c r="V12">
        <v>137.4</v>
      </c>
      <c r="W12">
        <v>9</v>
      </c>
      <c r="X12">
        <v>333</v>
      </c>
      <c r="Y12">
        <v>161</v>
      </c>
      <c r="Z12">
        <v>99.873253009999999</v>
      </c>
      <c r="AA12" s="1" t="str">
        <f t="shared" si="2"/>
        <v>113  [161]</v>
      </c>
      <c r="AB12" s="1" t="str">
        <f t="shared" si="3"/>
        <v>137.4 +/-99.9</v>
      </c>
      <c r="AC12">
        <v>1</v>
      </c>
      <c r="AD12">
        <v>1.04</v>
      </c>
      <c r="AE12">
        <v>0</v>
      </c>
      <c r="AF12">
        <v>5</v>
      </c>
      <c r="AG12">
        <v>1.4282856859999999</v>
      </c>
      <c r="AH12">
        <v>0.41666666699999999</v>
      </c>
      <c r="AI12">
        <v>0.35186947499999999</v>
      </c>
      <c r="AJ12">
        <v>0</v>
      </c>
      <c r="AK12">
        <v>0.87037036999999995</v>
      </c>
      <c r="AL12">
        <v>0.35421390899999999</v>
      </c>
      <c r="AM12">
        <v>25</v>
      </c>
      <c r="AN12" s="1">
        <v>2.356267672</v>
      </c>
    </row>
    <row r="13" spans="1:40" x14ac:dyDescent="0.2">
      <c r="A13" t="s">
        <v>62</v>
      </c>
      <c r="B13" t="s">
        <v>53</v>
      </c>
      <c r="C13">
        <v>-22</v>
      </c>
      <c r="D13">
        <v>-22</v>
      </c>
      <c r="E13">
        <v>-22</v>
      </c>
      <c r="F13">
        <v>-22</v>
      </c>
      <c r="G13" t="s">
        <v>63</v>
      </c>
      <c r="H13">
        <v>3</v>
      </c>
      <c r="I13">
        <v>3</v>
      </c>
      <c r="J13">
        <v>3</v>
      </c>
      <c r="K13">
        <v>3</v>
      </c>
      <c r="L13" t="s">
        <v>63</v>
      </c>
      <c r="M13">
        <v>17.993099999999998</v>
      </c>
      <c r="N13">
        <v>17.993099999999998</v>
      </c>
      <c r="O13">
        <v>17.993099999999998</v>
      </c>
      <c r="P13">
        <v>17.993099999999998</v>
      </c>
      <c r="Q13">
        <v>0</v>
      </c>
      <c r="R13" t="s">
        <v>63</v>
      </c>
      <c r="S13" s="1" t="str">
        <f t="shared" si="0"/>
        <v>18 [0]</v>
      </c>
      <c r="T13" s="1" t="e">
        <f t="shared" si="1"/>
        <v>#VALUE!</v>
      </c>
      <c r="U13">
        <v>179</v>
      </c>
      <c r="V13">
        <v>179</v>
      </c>
      <c r="W13">
        <v>179</v>
      </c>
      <c r="X13">
        <v>179</v>
      </c>
      <c r="Y13">
        <v>0</v>
      </c>
      <c r="Z13" t="s">
        <v>63</v>
      </c>
      <c r="AA13" s="1" t="str">
        <f t="shared" si="2"/>
        <v>179  [0]</v>
      </c>
      <c r="AB13" s="1" t="e">
        <f t="shared" si="3"/>
        <v>#VALUE!</v>
      </c>
      <c r="AC13">
        <v>1</v>
      </c>
      <c r="AD13">
        <v>1</v>
      </c>
      <c r="AE13">
        <v>1</v>
      </c>
      <c r="AF13">
        <v>1</v>
      </c>
      <c r="AG13" t="s">
        <v>63</v>
      </c>
      <c r="AH13">
        <v>0.66666666699999999</v>
      </c>
      <c r="AI13">
        <v>0.66666666699999999</v>
      </c>
      <c r="AJ13">
        <v>0.66666666699999999</v>
      </c>
      <c r="AK13">
        <v>0.66666666699999999</v>
      </c>
      <c r="AL13" t="s">
        <v>63</v>
      </c>
      <c r="AM13">
        <v>1</v>
      </c>
      <c r="AN13" s="1">
        <v>9.4250707000000003E-2</v>
      </c>
    </row>
    <row r="14" spans="1:40" s="1" customFormat="1" x14ac:dyDescent="0.2">
      <c r="A14" s="1" t="s">
        <v>56</v>
      </c>
      <c r="B14" s="1" t="s">
        <v>52</v>
      </c>
      <c r="C14" s="1">
        <v>-19</v>
      </c>
      <c r="D14" s="1">
        <v>-29.38501742</v>
      </c>
      <c r="E14" s="1">
        <v>-270</v>
      </c>
      <c r="F14" s="1">
        <v>5</v>
      </c>
      <c r="G14" s="1">
        <v>32.729413450000003</v>
      </c>
      <c r="H14" s="1">
        <v>11</v>
      </c>
      <c r="I14" s="1">
        <v>18.29616725</v>
      </c>
      <c r="J14" s="1">
        <v>2</v>
      </c>
      <c r="K14" s="1">
        <v>178</v>
      </c>
      <c r="L14" s="1">
        <v>20.293296699999999</v>
      </c>
      <c r="M14" s="1">
        <v>50.001950000000001</v>
      </c>
      <c r="N14" s="1">
        <v>78.890273690000001</v>
      </c>
      <c r="O14" s="1">
        <v>1.5</v>
      </c>
      <c r="P14" s="1">
        <v>674</v>
      </c>
      <c r="Q14">
        <v>91.498850000000004</v>
      </c>
      <c r="R14" s="1">
        <v>89.437714290000002</v>
      </c>
      <c r="S14" s="1" t="str">
        <f t="shared" si="0"/>
        <v>50 [91.5]</v>
      </c>
      <c r="T14" s="1" t="str">
        <f t="shared" si="1"/>
        <v>78.9 +/-89.4</v>
      </c>
      <c r="U14" s="1">
        <v>196</v>
      </c>
      <c r="V14" s="1">
        <v>197.1324042</v>
      </c>
      <c r="W14" s="1">
        <v>4</v>
      </c>
      <c r="X14" s="1">
        <v>523</v>
      </c>
      <c r="Y14">
        <v>167</v>
      </c>
      <c r="Z14" s="1">
        <v>108.7295501</v>
      </c>
      <c r="AA14" s="1" t="str">
        <f t="shared" si="2"/>
        <v>196  [167]</v>
      </c>
      <c r="AB14" s="1" t="str">
        <f t="shared" si="3"/>
        <v>197.1 +/-108.7</v>
      </c>
      <c r="AC14" s="1">
        <v>1</v>
      </c>
      <c r="AD14" s="1">
        <v>2.1428571430000001</v>
      </c>
      <c r="AE14" s="1">
        <v>0</v>
      </c>
      <c r="AF14" s="1">
        <v>17</v>
      </c>
      <c r="AG14" s="1">
        <v>2.7931247290000001</v>
      </c>
      <c r="AH14" s="1">
        <v>0.34851621799999999</v>
      </c>
      <c r="AI14" s="1">
        <v>0.37159323700000002</v>
      </c>
      <c r="AJ14" s="1">
        <v>0</v>
      </c>
      <c r="AK14" s="1">
        <v>0.95652173900000004</v>
      </c>
      <c r="AL14" s="1">
        <v>0.32389279599999998</v>
      </c>
      <c r="AM14" s="1">
        <v>574</v>
      </c>
      <c r="AN14" s="1">
        <v>30.258302579999999</v>
      </c>
    </row>
    <row r="15" spans="1:40" x14ac:dyDescent="0.2">
      <c r="A15" t="s">
        <v>35</v>
      </c>
      <c r="B15" t="s">
        <v>52</v>
      </c>
      <c r="C15">
        <v>-8</v>
      </c>
      <c r="D15">
        <v>-15.287735850000001</v>
      </c>
      <c r="E15">
        <v>-133</v>
      </c>
      <c r="F15">
        <v>96</v>
      </c>
      <c r="G15">
        <v>39.51983413</v>
      </c>
      <c r="H15">
        <v>6</v>
      </c>
      <c r="I15">
        <v>8.9339622639999998</v>
      </c>
      <c r="J15">
        <v>2</v>
      </c>
      <c r="K15">
        <v>72</v>
      </c>
      <c r="L15">
        <v>9.8064384189999991</v>
      </c>
      <c r="M15">
        <v>16.5</v>
      </c>
      <c r="N15">
        <v>44.895659430000002</v>
      </c>
      <c r="O15">
        <v>1.5</v>
      </c>
      <c r="P15">
        <v>480</v>
      </c>
      <c r="Q15">
        <v>47.494999999999997</v>
      </c>
      <c r="R15">
        <v>67.884847359999995</v>
      </c>
      <c r="S15" s="1" t="str">
        <f t="shared" si="0"/>
        <v>16.5 [47.5]</v>
      </c>
      <c r="T15" s="1" t="str">
        <f t="shared" si="1"/>
        <v>44.9 +/-67.9</v>
      </c>
      <c r="U15">
        <v>140</v>
      </c>
      <c r="V15">
        <v>152.61320749999999</v>
      </c>
      <c r="W15">
        <v>1</v>
      </c>
      <c r="X15">
        <v>451</v>
      </c>
      <c r="Y15">
        <v>135</v>
      </c>
      <c r="Z15">
        <v>92.773440669999999</v>
      </c>
      <c r="AA15" s="1" t="str">
        <f t="shared" si="2"/>
        <v>140  [135]</v>
      </c>
      <c r="AB15" s="1" t="str">
        <f t="shared" si="3"/>
        <v>152.6 +/-92.8</v>
      </c>
      <c r="AC15">
        <v>0</v>
      </c>
      <c r="AD15">
        <v>1.0094339619999999</v>
      </c>
      <c r="AE15">
        <v>0</v>
      </c>
      <c r="AF15">
        <v>16</v>
      </c>
      <c r="AG15">
        <v>1.8472230110000001</v>
      </c>
      <c r="AH15">
        <v>0</v>
      </c>
      <c r="AI15">
        <v>0.284600309</v>
      </c>
      <c r="AJ15">
        <v>0</v>
      </c>
      <c r="AK15">
        <v>0.96226415099999996</v>
      </c>
      <c r="AL15">
        <v>0.35787714700000001</v>
      </c>
      <c r="AM15">
        <v>212</v>
      </c>
      <c r="AN15" s="1">
        <v>11.17554033</v>
      </c>
    </row>
    <row r="16" spans="1:40" x14ac:dyDescent="0.2">
      <c r="A16" t="s">
        <v>36</v>
      </c>
      <c r="B16" t="s">
        <v>52</v>
      </c>
      <c r="C16">
        <v>-19</v>
      </c>
      <c r="D16">
        <v>-23.92207792</v>
      </c>
      <c r="E16">
        <v>-156</v>
      </c>
      <c r="F16">
        <v>6</v>
      </c>
      <c r="G16">
        <v>19.98291343</v>
      </c>
      <c r="H16">
        <v>7</v>
      </c>
      <c r="I16">
        <v>9.5350649349999994</v>
      </c>
      <c r="J16">
        <v>2</v>
      </c>
      <c r="K16">
        <v>115</v>
      </c>
      <c r="L16">
        <v>11.08980583</v>
      </c>
      <c r="M16">
        <v>15.976699999999999</v>
      </c>
      <c r="N16">
        <v>42.832084680000001</v>
      </c>
      <c r="O16">
        <v>1.5</v>
      </c>
      <c r="P16">
        <v>426</v>
      </c>
      <c r="Q16">
        <v>48</v>
      </c>
      <c r="R16">
        <v>62.84757355</v>
      </c>
      <c r="S16" s="1" t="str">
        <f t="shared" si="0"/>
        <v>16 [48]</v>
      </c>
      <c r="T16" s="1" t="str">
        <f t="shared" si="1"/>
        <v>42.8 +/-62.8</v>
      </c>
      <c r="U16">
        <v>121</v>
      </c>
      <c r="V16">
        <v>139.53506490000001</v>
      </c>
      <c r="W16">
        <v>1</v>
      </c>
      <c r="X16">
        <v>479</v>
      </c>
      <c r="Y16">
        <v>171</v>
      </c>
      <c r="Z16">
        <v>108.5642064</v>
      </c>
      <c r="AA16" s="1" t="str">
        <f t="shared" si="2"/>
        <v>121  [171]</v>
      </c>
      <c r="AB16" s="1" t="str">
        <f t="shared" si="3"/>
        <v>139.5 +/-108.6</v>
      </c>
      <c r="AC16">
        <v>0</v>
      </c>
      <c r="AD16">
        <v>1.064935065</v>
      </c>
      <c r="AE16">
        <v>0</v>
      </c>
      <c r="AF16">
        <v>15</v>
      </c>
      <c r="AG16">
        <v>1.9891480479999999</v>
      </c>
      <c r="AH16">
        <v>0</v>
      </c>
      <c r="AI16">
        <v>0.26682255599999999</v>
      </c>
      <c r="AJ16">
        <v>0</v>
      </c>
      <c r="AK16">
        <v>0.95121951199999999</v>
      </c>
      <c r="AL16">
        <v>0.33085547999999998</v>
      </c>
      <c r="AM16">
        <v>385</v>
      </c>
      <c r="AN16" s="1">
        <v>20.29520295</v>
      </c>
    </row>
    <row r="17" spans="1:40" x14ac:dyDescent="0.2">
      <c r="A17" t="s">
        <v>64</v>
      </c>
      <c r="B17" t="s">
        <v>52</v>
      </c>
      <c r="C17">
        <v>-20</v>
      </c>
      <c r="D17">
        <v>-25.938775509999999</v>
      </c>
      <c r="E17">
        <v>-267</v>
      </c>
      <c r="F17">
        <v>52</v>
      </c>
      <c r="G17">
        <v>37.474590730000003</v>
      </c>
      <c r="H17">
        <v>8</v>
      </c>
      <c r="I17">
        <v>13.89285714</v>
      </c>
      <c r="J17">
        <v>2</v>
      </c>
      <c r="K17">
        <v>94</v>
      </c>
      <c r="L17">
        <v>15.192567349999999</v>
      </c>
      <c r="M17">
        <v>45</v>
      </c>
      <c r="N17">
        <v>81.895182140000003</v>
      </c>
      <c r="O17">
        <v>1.9631000000000001</v>
      </c>
      <c r="P17">
        <v>450</v>
      </c>
      <c r="Q17">
        <v>106.00069999999999</v>
      </c>
      <c r="R17">
        <v>95.696335099999999</v>
      </c>
      <c r="S17" s="1" t="str">
        <f t="shared" si="0"/>
        <v>45 [106]</v>
      </c>
      <c r="T17" s="1" t="str">
        <f t="shared" si="1"/>
        <v>81.9 +/-95.7</v>
      </c>
      <c r="U17">
        <v>198</v>
      </c>
      <c r="V17">
        <v>198.95408159999999</v>
      </c>
      <c r="W17">
        <v>5</v>
      </c>
      <c r="X17">
        <v>513</v>
      </c>
      <c r="Y17">
        <v>174.75</v>
      </c>
      <c r="Z17">
        <v>117.2280396</v>
      </c>
      <c r="AA17" s="1" t="str">
        <f>_xlfn.CONCAT(ROUND(U17,1),"  [", ROUND(Y17,1),"]")</f>
        <v>198  [174.8]</v>
      </c>
      <c r="AB17" s="1" t="str">
        <f t="shared" si="3"/>
        <v>199 +/-117.2</v>
      </c>
      <c r="AC17">
        <v>1</v>
      </c>
      <c r="AD17">
        <v>2.4693877550000001</v>
      </c>
      <c r="AE17">
        <v>0</v>
      </c>
      <c r="AF17">
        <v>17</v>
      </c>
      <c r="AG17">
        <v>3.4155123700000001</v>
      </c>
      <c r="AH17">
        <v>0.53589743599999995</v>
      </c>
      <c r="AI17">
        <v>0.43458068999999999</v>
      </c>
      <c r="AJ17">
        <v>0</v>
      </c>
      <c r="AK17">
        <v>0.94871794899999995</v>
      </c>
      <c r="AL17">
        <v>0.35580128599999999</v>
      </c>
      <c r="AM17">
        <v>196</v>
      </c>
      <c r="AN17" s="1">
        <v>10.33210332</v>
      </c>
    </row>
    <row r="18" spans="1:40" x14ac:dyDescent="0.2">
      <c r="A18" t="s">
        <v>58</v>
      </c>
      <c r="B18" t="s">
        <v>52</v>
      </c>
      <c r="C18">
        <v>-21</v>
      </c>
      <c r="D18">
        <v>-28.160869569999999</v>
      </c>
      <c r="E18">
        <v>-157</v>
      </c>
      <c r="F18">
        <v>4</v>
      </c>
      <c r="G18">
        <v>25.28328994</v>
      </c>
      <c r="H18">
        <v>6</v>
      </c>
      <c r="I18">
        <v>8.8043478260000008</v>
      </c>
      <c r="J18">
        <v>2</v>
      </c>
      <c r="K18">
        <v>73</v>
      </c>
      <c r="L18">
        <v>8.4383703729999997</v>
      </c>
      <c r="M18">
        <v>18</v>
      </c>
      <c r="N18">
        <v>48.341464350000003</v>
      </c>
      <c r="O18">
        <v>1.5</v>
      </c>
      <c r="P18">
        <v>436</v>
      </c>
      <c r="Q18">
        <v>67.5</v>
      </c>
      <c r="R18">
        <v>66.601991889999994</v>
      </c>
      <c r="S18" s="1" t="str">
        <f t="shared" si="0"/>
        <v>18 [67.5]</v>
      </c>
      <c r="T18" s="1" t="str">
        <f t="shared" si="1"/>
        <v>48.3 +/-66.6</v>
      </c>
      <c r="U18">
        <v>146</v>
      </c>
      <c r="V18">
        <v>156.80434779999999</v>
      </c>
      <c r="W18">
        <v>3</v>
      </c>
      <c r="X18">
        <v>496</v>
      </c>
      <c r="Y18">
        <v>166</v>
      </c>
      <c r="Z18">
        <v>106.1432705</v>
      </c>
      <c r="AA18" s="1" t="str">
        <f t="shared" si="2"/>
        <v>146  [166]</v>
      </c>
      <c r="AB18" s="1" t="str">
        <f t="shared" si="3"/>
        <v>156.8 +/-106.1</v>
      </c>
      <c r="AC18">
        <v>1</v>
      </c>
      <c r="AD18">
        <v>1.1217391299999999</v>
      </c>
      <c r="AE18">
        <v>0</v>
      </c>
      <c r="AF18">
        <v>13</v>
      </c>
      <c r="AG18">
        <v>1.8128499410000001</v>
      </c>
      <c r="AH18">
        <v>0.148351648</v>
      </c>
      <c r="AI18">
        <v>0.32273015999999999</v>
      </c>
      <c r="AJ18">
        <v>0</v>
      </c>
      <c r="AK18">
        <v>0.95454545499999999</v>
      </c>
      <c r="AL18">
        <v>0.35918415999999997</v>
      </c>
      <c r="AM18">
        <v>230</v>
      </c>
      <c r="AN18" s="1">
        <v>12.12440696</v>
      </c>
    </row>
    <row r="19" spans="1:40" x14ac:dyDescent="0.2">
      <c r="A19" t="s">
        <v>57</v>
      </c>
      <c r="B19" t="s">
        <v>52</v>
      </c>
      <c r="C19">
        <v>-25</v>
      </c>
      <c r="D19">
        <v>-29.703030300000002</v>
      </c>
      <c r="E19">
        <v>-152</v>
      </c>
      <c r="F19">
        <v>7</v>
      </c>
      <c r="G19">
        <v>23.747457950000001</v>
      </c>
      <c r="H19">
        <v>5</v>
      </c>
      <c r="I19">
        <v>7.4969696969999999</v>
      </c>
      <c r="J19">
        <v>2</v>
      </c>
      <c r="K19">
        <v>67</v>
      </c>
      <c r="L19">
        <v>9.0833701189999996</v>
      </c>
      <c r="M19">
        <v>20</v>
      </c>
      <c r="N19">
        <v>51.930156359999998</v>
      </c>
      <c r="O19">
        <v>2</v>
      </c>
      <c r="P19">
        <v>450</v>
      </c>
      <c r="Q19">
        <v>76</v>
      </c>
      <c r="R19">
        <v>68.56989136</v>
      </c>
      <c r="S19" s="1" t="str">
        <f t="shared" si="0"/>
        <v>20 [76]</v>
      </c>
      <c r="T19" s="1" t="str">
        <f t="shared" si="1"/>
        <v>51.9 +/-68.6</v>
      </c>
      <c r="U19">
        <v>126</v>
      </c>
      <c r="V19">
        <v>146.21212120000001</v>
      </c>
      <c r="W19">
        <v>3</v>
      </c>
      <c r="X19">
        <v>474</v>
      </c>
      <c r="Y19">
        <v>179</v>
      </c>
      <c r="Z19">
        <v>112.0672048</v>
      </c>
      <c r="AA19" s="1" t="str">
        <f t="shared" si="2"/>
        <v>126  [179]</v>
      </c>
      <c r="AB19" s="1" t="str">
        <f t="shared" si="3"/>
        <v>146.2 +/-112.1</v>
      </c>
      <c r="AC19">
        <v>1</v>
      </c>
      <c r="AD19">
        <v>1.2848484849999999</v>
      </c>
      <c r="AE19">
        <v>0</v>
      </c>
      <c r="AF19">
        <v>17</v>
      </c>
      <c r="AG19">
        <v>2.0505979509999999</v>
      </c>
      <c r="AH19">
        <v>0.45652173899999998</v>
      </c>
      <c r="AI19">
        <v>0.41432259500000002</v>
      </c>
      <c r="AJ19">
        <v>0</v>
      </c>
      <c r="AK19">
        <v>0.95833333300000001</v>
      </c>
      <c r="AL19">
        <v>0.39166529999999999</v>
      </c>
      <c r="AM19">
        <v>165</v>
      </c>
      <c r="AN19" s="1">
        <v>8.6979441219999991</v>
      </c>
    </row>
    <row r="20" spans="1:40" x14ac:dyDescent="0.2">
      <c r="A20" t="s">
        <v>42</v>
      </c>
      <c r="B20" t="s">
        <v>52</v>
      </c>
      <c r="C20">
        <v>-30</v>
      </c>
      <c r="D20">
        <v>-46.1047619</v>
      </c>
      <c r="E20">
        <v>-175</v>
      </c>
      <c r="F20">
        <v>37</v>
      </c>
      <c r="G20">
        <v>47.126246940000001</v>
      </c>
      <c r="H20">
        <v>27</v>
      </c>
      <c r="I20">
        <v>54.371428569999999</v>
      </c>
      <c r="J20">
        <v>2</v>
      </c>
      <c r="K20">
        <v>260</v>
      </c>
      <c r="L20">
        <v>60.506874549999999</v>
      </c>
      <c r="M20">
        <v>182</v>
      </c>
      <c r="N20">
        <v>277.11928760000001</v>
      </c>
      <c r="O20">
        <v>2</v>
      </c>
      <c r="P20">
        <v>1345.5</v>
      </c>
      <c r="Q20">
        <v>385.98329999999999</v>
      </c>
      <c r="R20">
        <v>288.61910239999997</v>
      </c>
      <c r="S20" s="1" t="str">
        <f t="shared" si="0"/>
        <v>182 [386]</v>
      </c>
      <c r="T20" s="1" t="str">
        <f t="shared" si="1"/>
        <v>277.1 +/-288.6</v>
      </c>
      <c r="U20">
        <v>241</v>
      </c>
      <c r="V20">
        <v>232.8190476</v>
      </c>
      <c r="W20">
        <v>15</v>
      </c>
      <c r="X20">
        <v>489</v>
      </c>
      <c r="Y20">
        <v>193</v>
      </c>
      <c r="Z20">
        <v>116.65554</v>
      </c>
      <c r="AA20" s="1" t="str">
        <f t="shared" si="2"/>
        <v>241  [193]</v>
      </c>
      <c r="AB20" s="1" t="str">
        <f t="shared" si="3"/>
        <v>232.8 +/-116.7</v>
      </c>
      <c r="AC20">
        <v>5</v>
      </c>
      <c r="AD20">
        <v>8.723809524</v>
      </c>
      <c r="AE20">
        <v>0</v>
      </c>
      <c r="AF20">
        <v>40</v>
      </c>
      <c r="AG20">
        <v>9.4375429069999992</v>
      </c>
      <c r="AH20">
        <v>0.52941176499999998</v>
      </c>
      <c r="AI20">
        <v>0.46972629799999999</v>
      </c>
      <c r="AJ20">
        <v>0</v>
      </c>
      <c r="AK20">
        <v>0.87969924799999999</v>
      </c>
      <c r="AL20">
        <v>0.27100413099999998</v>
      </c>
      <c r="AM20">
        <v>105</v>
      </c>
      <c r="AN20" s="1">
        <v>5.5350553509999996</v>
      </c>
    </row>
    <row r="21" spans="1:40" x14ac:dyDescent="0.2">
      <c r="A21" t="s">
        <v>43</v>
      </c>
      <c r="B21" t="s">
        <v>52</v>
      </c>
      <c r="C21">
        <v>-47</v>
      </c>
      <c r="D21">
        <v>-58.733333330000001</v>
      </c>
      <c r="E21">
        <v>-169</v>
      </c>
      <c r="F21">
        <v>-3</v>
      </c>
      <c r="G21">
        <v>51.5611009</v>
      </c>
      <c r="H21">
        <v>22.5</v>
      </c>
      <c r="I21">
        <v>40</v>
      </c>
      <c r="J21">
        <v>3</v>
      </c>
      <c r="K21">
        <v>130</v>
      </c>
      <c r="L21">
        <v>36.908087139999999</v>
      </c>
      <c r="M21">
        <v>167.00835000000001</v>
      </c>
      <c r="N21">
        <v>217.28424999999999</v>
      </c>
      <c r="O21">
        <v>4</v>
      </c>
      <c r="P21">
        <v>656</v>
      </c>
      <c r="Q21">
        <v>342.87917499999998</v>
      </c>
      <c r="R21">
        <v>189.30427299999999</v>
      </c>
      <c r="S21" s="1" t="str">
        <f t="shared" si="0"/>
        <v>167 [342.9]</v>
      </c>
      <c r="T21" s="1" t="str">
        <f t="shared" si="1"/>
        <v>217.3 +/-189.3</v>
      </c>
      <c r="U21">
        <v>276</v>
      </c>
      <c r="V21">
        <v>255.2</v>
      </c>
      <c r="W21">
        <v>69</v>
      </c>
      <c r="X21">
        <v>488</v>
      </c>
      <c r="Y21">
        <v>168</v>
      </c>
      <c r="Z21">
        <v>116.08094680000001</v>
      </c>
      <c r="AA21" s="1" t="str">
        <f t="shared" si="2"/>
        <v>276  [168]</v>
      </c>
      <c r="AB21" s="1" t="str">
        <f t="shared" si="3"/>
        <v>255.2 +/-116.1</v>
      </c>
      <c r="AC21">
        <v>5</v>
      </c>
      <c r="AD21">
        <v>7.1</v>
      </c>
      <c r="AE21">
        <v>0</v>
      </c>
      <c r="AF21">
        <v>20</v>
      </c>
      <c r="AG21">
        <v>6.5091447609999999</v>
      </c>
      <c r="AH21">
        <v>0.58365943899999995</v>
      </c>
      <c r="AI21">
        <v>0.49848738799999998</v>
      </c>
      <c r="AJ21">
        <v>0</v>
      </c>
      <c r="AK21">
        <v>0.92307692299999999</v>
      </c>
      <c r="AL21">
        <v>0.30168596600000003</v>
      </c>
      <c r="AM21">
        <v>30</v>
      </c>
      <c r="AN21" s="1">
        <v>1.581444386</v>
      </c>
    </row>
  </sheetData>
  <autoFilter ref="A1:AN21" xr:uid="{5A5C0709-F7A2-184B-9887-E63C0B06A1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Marie Prokopenko</cp:lastModifiedBy>
  <dcterms:created xsi:type="dcterms:W3CDTF">2025-08-29T02:36:00Z</dcterms:created>
  <dcterms:modified xsi:type="dcterms:W3CDTF">2026-02-15T03:51:53Z</dcterms:modified>
</cp:coreProperties>
</file>