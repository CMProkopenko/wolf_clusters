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p/Documents/local-git/wolf_clusters/4-Analysis/results/"/>
    </mc:Choice>
  </mc:AlternateContent>
  <xr:revisionPtr revIDLastSave="0" documentId="13_ncr:1_{698FE146-B216-924D-A2C7-D05C0E57340F}" xr6:coauthVersionLast="47" xr6:coauthVersionMax="47" xr10:uidLastSave="{00000000-0000-0000-0000-000000000000}"/>
  <bookViews>
    <workbookView xWindow="0" yWindow="660" windowWidth="30240" windowHeight="18980" xr2:uid="{76585D50-6560-D34A-B236-1EC249E04AC4}"/>
  </bookViews>
  <sheets>
    <sheet name="gha26_in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2" i="1"/>
  <c r="N2" i="1"/>
  <c r="N3" i="1"/>
  <c r="N4" i="1"/>
  <c r="N5" i="1"/>
  <c r="N6" i="1"/>
  <c r="N7" i="1"/>
  <c r="N8" i="1"/>
  <c r="N9" i="1"/>
  <c r="N10" i="1"/>
  <c r="N11" i="1"/>
  <c r="N12" i="1"/>
  <c r="T2" i="1"/>
  <c r="Z2" i="1"/>
  <c r="AF2" i="1"/>
  <c r="AL2" i="1"/>
  <c r="AL3" i="1"/>
  <c r="AL4" i="1"/>
  <c r="AL5" i="1"/>
  <c r="AL6" i="1"/>
  <c r="AL7" i="1"/>
  <c r="AL8" i="1"/>
  <c r="AL9" i="1"/>
  <c r="AL10" i="1"/>
  <c r="AL11" i="1"/>
  <c r="AL12" i="1"/>
  <c r="AF3" i="1"/>
  <c r="AF4" i="1"/>
  <c r="AF5" i="1"/>
  <c r="AF6" i="1"/>
  <c r="AF7" i="1"/>
  <c r="AF8" i="1"/>
  <c r="AF9" i="1"/>
  <c r="AF10" i="1"/>
  <c r="AF11" i="1"/>
  <c r="AF12" i="1"/>
  <c r="Z3" i="1"/>
  <c r="Z4" i="1"/>
  <c r="Z5" i="1"/>
  <c r="Z6" i="1"/>
  <c r="Z7" i="1"/>
  <c r="Z8" i="1"/>
  <c r="Z9" i="1"/>
  <c r="Z10" i="1"/>
  <c r="Z11" i="1"/>
  <c r="Z12" i="1"/>
  <c r="T3" i="1"/>
  <c r="T4" i="1"/>
  <c r="T5" i="1"/>
  <c r="T6" i="1"/>
  <c r="T7" i="1"/>
  <c r="T8" i="1"/>
  <c r="T9" i="1"/>
  <c r="T10" i="1"/>
  <c r="T11" i="1"/>
  <c r="T12" i="1"/>
  <c r="AO3" i="1"/>
  <c r="AO4" i="1"/>
  <c r="AO5" i="1"/>
  <c r="AO6" i="1"/>
  <c r="AO7" i="1"/>
  <c r="AO8" i="1"/>
  <c r="AO9" i="1"/>
  <c r="AO10" i="1"/>
  <c r="AO11" i="1"/>
  <c r="AO12" i="1"/>
  <c r="AO2" i="1"/>
</calcChain>
</file>

<file path=xl/sharedStrings.xml><?xml version="1.0" encoding="utf-8"?>
<sst xmlns="http://schemas.openxmlformats.org/spreadsheetml/2006/main" count="51" uniqueCount="51">
  <si>
    <t>Behav</t>
  </si>
  <si>
    <t>days.med</t>
  </si>
  <si>
    <t>days.mean</t>
  </si>
  <si>
    <t>days.min</t>
  </si>
  <si>
    <t>days.max</t>
  </si>
  <si>
    <t>days.sd</t>
  </si>
  <si>
    <t>fix.med</t>
  </si>
  <si>
    <t>fix.mean</t>
  </si>
  <si>
    <t>fix.min</t>
  </si>
  <si>
    <t>fix.max</t>
  </si>
  <si>
    <t>fix.sd</t>
  </si>
  <si>
    <t>hr.med</t>
  </si>
  <si>
    <t>hr.mean</t>
  </si>
  <si>
    <t>hr.min</t>
  </si>
  <si>
    <t>hr.max</t>
  </si>
  <si>
    <t>hr.sd</t>
  </si>
  <si>
    <t>rad.med</t>
  </si>
  <si>
    <t>rad.mean</t>
  </si>
  <si>
    <t>rad.min</t>
  </si>
  <si>
    <t>rad.max</t>
  </si>
  <si>
    <t>rad.sd</t>
  </si>
  <si>
    <t>rev.med</t>
  </si>
  <si>
    <t>rev.mean</t>
  </si>
  <si>
    <t>rev.min</t>
  </si>
  <si>
    <t>rev.max</t>
  </si>
  <si>
    <t>rev.sd</t>
  </si>
  <si>
    <t>away.med</t>
  </si>
  <si>
    <t>away.mean</t>
  </si>
  <si>
    <t>away.min</t>
  </si>
  <si>
    <t>away.max</t>
  </si>
  <si>
    <t>away.sd</t>
  </si>
  <si>
    <t>count</t>
  </si>
  <si>
    <t>percent</t>
  </si>
  <si>
    <t>Moose Kill</t>
  </si>
  <si>
    <t>Other</t>
  </si>
  <si>
    <t>Revisit</t>
  </si>
  <si>
    <t>Resting</t>
  </si>
  <si>
    <t>Scavenge</t>
  </si>
  <si>
    <t>Probable Kill</t>
  </si>
  <si>
    <t>Calf Kill</t>
  </si>
  <si>
    <t>Beaver Kill</t>
  </si>
  <si>
    <t>Deer Kill</t>
  </si>
  <si>
    <t>Den</t>
  </si>
  <si>
    <t>Rendez-vous</t>
  </si>
  <si>
    <t>Duration</t>
  </si>
  <si>
    <t>Locations</t>
  </si>
  <si>
    <t>Percent</t>
  </si>
  <si>
    <t>Radius</t>
  </si>
  <si>
    <t>Revisits</t>
  </si>
  <si>
    <t>Away</t>
  </si>
  <si>
    <t>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</si>
</sst>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4719F-986C-824C-9B49-FEA07311A1CF}">
  <dimension ref="A1:AO12"/>
  <sheetViews>
    <sheetView tabSelected="1" workbookViewId="0">
      <selection activeCell="H2" sqref="H2:H12"/>
    </sheetView>
  </sheetViews>
  <sheetFormatPr baseColWidth="10" defaultRowHeight="16" x14ac:dyDescent="0.2"/>
  <sheetData>
    <row r="1" spans="1:4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45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44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47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s="1" t="s">
        <v>48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s="1" t="s">
        <v>49</v>
      </c>
      <c r="AM1" t="s">
        <v>31</v>
      </c>
      <c r="AN1" t="s">
        <v>32</v>
      </c>
      <c r="AO1" t="s">
        <v>46</v>
      </c>
    </row>
    <row r="2" spans="1:41" x14ac:dyDescent="0.2">
      <c r="A2">
        <v>1</v>
      </c>
      <c r="B2" t="s">
        <v>33</v>
      </c>
      <c r="C2">
        <v>-28</v>
      </c>
      <c r="D2">
        <v>-37.432926829268297</v>
      </c>
      <c r="E2">
        <v>-173</v>
      </c>
      <c r="F2">
        <v>0</v>
      </c>
      <c r="G2">
        <v>35.558149229919003</v>
      </c>
      <c r="H2" t="str">
        <f>_xlfn.CONCAT(ROUND(C2,2)," +/-  ", ROUND(G2,2))</f>
        <v>-28 +/-  35.56</v>
      </c>
      <c r="I2">
        <v>22</v>
      </c>
      <c r="J2">
        <v>31.396341463414601</v>
      </c>
      <c r="K2">
        <v>2</v>
      </c>
      <c r="L2">
        <v>178</v>
      </c>
      <c r="M2">
        <v>28.987540988246401</v>
      </c>
      <c r="N2" t="str">
        <f>_xlfn.CONCAT(ROUND(I2,2)," +/-  ", ROUND(M2,2))</f>
        <v>22 +/-  28.99</v>
      </c>
      <c r="O2">
        <v>92</v>
      </c>
      <c r="P2">
        <v>126.997115853659</v>
      </c>
      <c r="Q2">
        <v>4</v>
      </c>
      <c r="R2">
        <v>674</v>
      </c>
      <c r="S2">
        <v>120.47175396316401</v>
      </c>
      <c r="T2" t="str">
        <f>_xlfn.CONCAT(ROUND(O2,2)," +/-  ", ROUND(S2,2))</f>
        <v>92 +/-  120.47</v>
      </c>
      <c r="U2">
        <v>247</v>
      </c>
      <c r="V2">
        <v>238.77439024390199</v>
      </c>
      <c r="W2">
        <v>12</v>
      </c>
      <c r="X2">
        <v>479</v>
      </c>
      <c r="Y2">
        <v>102.533090646581</v>
      </c>
      <c r="Z2" t="str">
        <f>_xlfn.CONCAT(ROUND(U2,2)," +/-  ", ROUND(Y2,2))</f>
        <v>247 +/-  102.53</v>
      </c>
      <c r="AA2">
        <v>3</v>
      </c>
      <c r="AB2">
        <v>3.73780487804878</v>
      </c>
      <c r="AC2">
        <v>0</v>
      </c>
      <c r="AD2">
        <v>17</v>
      </c>
      <c r="AE2">
        <v>3.5305203997402699</v>
      </c>
      <c r="AF2" t="str">
        <f>_xlfn.CONCAT(ROUND(AA2,2)," +/-  ", ROUND(AE2,2))</f>
        <v>3 +/-  3.53</v>
      </c>
      <c r="AG2">
        <v>0.421472937000887</v>
      </c>
      <c r="AH2">
        <v>0.416631617335534</v>
      </c>
      <c r="AI2">
        <v>0</v>
      </c>
      <c r="AJ2">
        <v>0.94444444444444398</v>
      </c>
      <c r="AK2">
        <v>0.26973869030013897</v>
      </c>
      <c r="AL2" t="str">
        <f>_xlfn.CONCAT(ROUND(AG2*100,2)," +/-  ", ROUND(AK2*100,2))</f>
        <v>42.15 +/-  26.97</v>
      </c>
      <c r="AM2">
        <v>164</v>
      </c>
      <c r="AN2">
        <v>8.6452293094359494</v>
      </c>
      <c r="AO2">
        <f>ROUND(AN2,2)</f>
        <v>8.65</v>
      </c>
    </row>
    <row r="3" spans="1:41" x14ac:dyDescent="0.2">
      <c r="A3">
        <v>2</v>
      </c>
      <c r="B3" t="s">
        <v>34</v>
      </c>
      <c r="C3">
        <v>-21</v>
      </c>
      <c r="D3">
        <v>-25.280769230769199</v>
      </c>
      <c r="E3">
        <v>-156</v>
      </c>
      <c r="F3">
        <v>7</v>
      </c>
      <c r="G3">
        <v>23.3637100909284</v>
      </c>
      <c r="H3" t="str">
        <f t="shared" ref="H3:H12" si="0">_xlfn.CONCAT(ROUND(C3,2)," +/-  ", ROUND(G3,2))</f>
        <v>-21 +/-  23.36</v>
      </c>
      <c r="I3">
        <v>5</v>
      </c>
      <c r="J3">
        <v>8.5307692307692307</v>
      </c>
      <c r="K3">
        <v>2</v>
      </c>
      <c r="L3">
        <v>67</v>
      </c>
      <c r="M3">
        <v>9.5579423493899505</v>
      </c>
      <c r="N3" t="str">
        <f t="shared" ref="N3:N12" si="1">_xlfn.CONCAT(ROUND(I3,2)," +/-  ", ROUND(M3,2))</f>
        <v>5 +/-  9.56</v>
      </c>
      <c r="O3">
        <v>32</v>
      </c>
      <c r="P3">
        <v>55.388346923076902</v>
      </c>
      <c r="Q3">
        <v>1.5</v>
      </c>
      <c r="R3">
        <v>450</v>
      </c>
      <c r="S3">
        <v>68.375501101962101</v>
      </c>
      <c r="T3" t="str">
        <f t="shared" ref="T3:T12" si="2">_xlfn.CONCAT(ROUND(O3,2)," +/-  ", ROUND(S3,2))</f>
        <v>32 +/-  68.38</v>
      </c>
      <c r="U3">
        <v>145.5</v>
      </c>
      <c r="V3">
        <v>155.93076923076899</v>
      </c>
      <c r="W3">
        <v>3</v>
      </c>
      <c r="X3">
        <v>474</v>
      </c>
      <c r="Y3">
        <v>108.788675346177</v>
      </c>
      <c r="Z3" t="str">
        <f t="shared" ref="Z3:Z12" si="3">_xlfn.CONCAT(ROUND(U3,2)," +/-  ", ROUND(Y3,2))</f>
        <v>145.5 +/-  108.79</v>
      </c>
      <c r="AA3">
        <v>1</v>
      </c>
      <c r="AB3">
        <v>1.4576923076923101</v>
      </c>
      <c r="AC3">
        <v>0</v>
      </c>
      <c r="AD3">
        <v>17</v>
      </c>
      <c r="AE3">
        <v>2.23047912454637</v>
      </c>
      <c r="AF3" t="str">
        <f t="shared" ref="AF3:AF12" si="4">_xlfn.CONCAT(ROUND(AA3,2)," +/-  ", ROUND(AE3,2))</f>
        <v>1 +/-  2.23</v>
      </c>
      <c r="AG3">
        <v>0.45903010033444802</v>
      </c>
      <c r="AH3">
        <v>0.419933801812023</v>
      </c>
      <c r="AI3">
        <v>0</v>
      </c>
      <c r="AJ3">
        <v>0.95833333333333304</v>
      </c>
      <c r="AK3">
        <v>0.37985661081948802</v>
      </c>
      <c r="AL3" t="str">
        <f t="shared" ref="AL3:AL12" si="5">_xlfn.CONCAT(ROUND(AG3*100,2)," +/-  ", ROUND(AK3*100,2))</f>
        <v>45.9 +/-  37.99</v>
      </c>
      <c r="AM3">
        <v>260</v>
      </c>
      <c r="AN3">
        <v>13.7058513442277</v>
      </c>
      <c r="AO3">
        <f t="shared" ref="AO3:AO12" si="6">ROUND(AN3,2)</f>
        <v>13.71</v>
      </c>
    </row>
    <row r="4" spans="1:41" x14ac:dyDescent="0.2">
      <c r="A4">
        <v>3</v>
      </c>
      <c r="B4" t="s">
        <v>35</v>
      </c>
      <c r="C4">
        <v>-8</v>
      </c>
      <c r="D4">
        <v>-15.287735849056601</v>
      </c>
      <c r="E4">
        <v>-133</v>
      </c>
      <c r="F4">
        <v>96</v>
      </c>
      <c r="G4">
        <v>39.519834129662698</v>
      </c>
      <c r="H4" t="str">
        <f t="shared" si="0"/>
        <v>-8 +/-  39.52</v>
      </c>
      <c r="I4">
        <v>6</v>
      </c>
      <c r="J4">
        <v>8.9339622641509404</v>
      </c>
      <c r="K4">
        <v>2</v>
      </c>
      <c r="L4">
        <v>72</v>
      </c>
      <c r="M4">
        <v>9.8064384188666605</v>
      </c>
      <c r="N4" t="str">
        <f t="shared" si="1"/>
        <v>6 +/-  9.81</v>
      </c>
      <c r="O4">
        <v>16.5</v>
      </c>
      <c r="P4">
        <v>44.895659433962301</v>
      </c>
      <c r="Q4">
        <v>1.5</v>
      </c>
      <c r="R4">
        <v>480</v>
      </c>
      <c r="S4">
        <v>67.884847356812799</v>
      </c>
      <c r="T4" t="str">
        <f t="shared" si="2"/>
        <v>16.5 +/-  67.88</v>
      </c>
      <c r="U4">
        <v>140</v>
      </c>
      <c r="V4">
        <v>152.61320754716999</v>
      </c>
      <c r="W4">
        <v>1</v>
      </c>
      <c r="X4">
        <v>451</v>
      </c>
      <c r="Y4">
        <v>92.773440670960795</v>
      </c>
      <c r="Z4" t="str">
        <f t="shared" si="3"/>
        <v>140 +/-  92.77</v>
      </c>
      <c r="AA4">
        <v>0</v>
      </c>
      <c r="AB4">
        <v>1.0094339622641499</v>
      </c>
      <c r="AC4">
        <v>0</v>
      </c>
      <c r="AD4">
        <v>16</v>
      </c>
      <c r="AE4">
        <v>1.8472230112897301</v>
      </c>
      <c r="AF4" t="str">
        <f t="shared" si="4"/>
        <v>0 +/-  1.85</v>
      </c>
      <c r="AG4">
        <v>0</v>
      </c>
      <c r="AH4">
        <v>0.28460030876675002</v>
      </c>
      <c r="AI4">
        <v>0</v>
      </c>
      <c r="AJ4">
        <v>0.96226415094339601</v>
      </c>
      <c r="AK4">
        <v>0.35787714734529502</v>
      </c>
      <c r="AL4" t="str">
        <f t="shared" si="5"/>
        <v>0 +/-  35.79</v>
      </c>
      <c r="AM4">
        <v>212</v>
      </c>
      <c r="AN4">
        <v>11.175540326831801</v>
      </c>
      <c r="AO4">
        <f t="shared" si="6"/>
        <v>11.18</v>
      </c>
    </row>
    <row r="5" spans="1:41" x14ac:dyDescent="0.2">
      <c r="A5">
        <v>4</v>
      </c>
      <c r="B5" t="s">
        <v>36</v>
      </c>
      <c r="C5">
        <v>-19</v>
      </c>
      <c r="D5">
        <v>-23.9220779220779</v>
      </c>
      <c r="E5">
        <v>-156</v>
      </c>
      <c r="F5">
        <v>6</v>
      </c>
      <c r="G5">
        <v>19.982913426333202</v>
      </c>
      <c r="H5" t="str">
        <f t="shared" si="0"/>
        <v>-19 +/-  19.98</v>
      </c>
      <c r="I5">
        <v>7</v>
      </c>
      <c r="J5">
        <v>9.5350649350649395</v>
      </c>
      <c r="K5">
        <v>2</v>
      </c>
      <c r="L5">
        <v>115</v>
      </c>
      <c r="M5">
        <v>11.0898058274274</v>
      </c>
      <c r="N5" t="str">
        <f t="shared" si="1"/>
        <v>7 +/-  11.09</v>
      </c>
      <c r="O5">
        <v>15.976699999999999</v>
      </c>
      <c r="P5">
        <v>42.832084675324701</v>
      </c>
      <c r="Q5">
        <v>1.5</v>
      </c>
      <c r="R5">
        <v>426</v>
      </c>
      <c r="S5">
        <v>62.847573552646999</v>
      </c>
      <c r="T5" t="str">
        <f t="shared" si="2"/>
        <v>15.98 +/-  62.85</v>
      </c>
      <c r="U5">
        <v>121</v>
      </c>
      <c r="V5">
        <v>139.53506493506501</v>
      </c>
      <c r="W5">
        <v>1</v>
      </c>
      <c r="X5">
        <v>479</v>
      </c>
      <c r="Y5">
        <v>108.56420643236901</v>
      </c>
      <c r="Z5" t="str">
        <f t="shared" si="3"/>
        <v>121 +/-  108.56</v>
      </c>
      <c r="AA5">
        <v>0</v>
      </c>
      <c r="AB5">
        <v>1.06493506493506</v>
      </c>
      <c r="AC5">
        <v>0</v>
      </c>
      <c r="AD5">
        <v>15</v>
      </c>
      <c r="AE5">
        <v>1.9891480479617201</v>
      </c>
      <c r="AF5" t="str">
        <f t="shared" si="4"/>
        <v>0 +/-  1.99</v>
      </c>
      <c r="AG5">
        <v>0</v>
      </c>
      <c r="AH5">
        <v>0.266822556378284</v>
      </c>
      <c r="AI5">
        <v>0</v>
      </c>
      <c r="AJ5">
        <v>0.95121951219512202</v>
      </c>
      <c r="AK5">
        <v>0.33085548016901101</v>
      </c>
      <c r="AL5" t="str">
        <f t="shared" si="5"/>
        <v>0 +/-  33.09</v>
      </c>
      <c r="AM5">
        <v>385</v>
      </c>
      <c r="AN5">
        <v>20.295202952029499</v>
      </c>
      <c r="AO5">
        <f t="shared" si="6"/>
        <v>20.3</v>
      </c>
    </row>
    <row r="6" spans="1:41" x14ac:dyDescent="0.2">
      <c r="A6">
        <v>5</v>
      </c>
      <c r="B6" t="s">
        <v>37</v>
      </c>
      <c r="C6">
        <v>-20</v>
      </c>
      <c r="D6">
        <v>-25.938775510204099</v>
      </c>
      <c r="E6">
        <v>-267</v>
      </c>
      <c r="F6">
        <v>52</v>
      </c>
      <c r="G6">
        <v>37.474590728756603</v>
      </c>
      <c r="H6" t="str">
        <f t="shared" si="0"/>
        <v>-20 +/-  37.47</v>
      </c>
      <c r="I6">
        <v>8</v>
      </c>
      <c r="J6">
        <v>13.8928571428571</v>
      </c>
      <c r="K6">
        <v>2</v>
      </c>
      <c r="L6">
        <v>94</v>
      </c>
      <c r="M6">
        <v>15.192567346044701</v>
      </c>
      <c r="N6" t="str">
        <f t="shared" si="1"/>
        <v>8 +/-  15.19</v>
      </c>
      <c r="O6">
        <v>45</v>
      </c>
      <c r="P6">
        <v>81.895182142857195</v>
      </c>
      <c r="Q6">
        <v>1.9631000000000001</v>
      </c>
      <c r="R6">
        <v>450</v>
      </c>
      <c r="S6">
        <v>95.696335099131005</v>
      </c>
      <c r="T6" t="str">
        <f t="shared" si="2"/>
        <v>45 +/-  95.7</v>
      </c>
      <c r="U6">
        <v>198</v>
      </c>
      <c r="V6">
        <v>198.95408163265299</v>
      </c>
      <c r="W6">
        <v>5</v>
      </c>
      <c r="X6">
        <v>513</v>
      </c>
      <c r="Y6">
        <v>117.228039586552</v>
      </c>
      <c r="Z6" t="str">
        <f t="shared" si="3"/>
        <v>198 +/-  117.23</v>
      </c>
      <c r="AA6">
        <v>1</v>
      </c>
      <c r="AB6">
        <v>2.4693877551020398</v>
      </c>
      <c r="AC6">
        <v>0</v>
      </c>
      <c r="AD6">
        <v>17</v>
      </c>
      <c r="AE6">
        <v>3.4155123702658501</v>
      </c>
      <c r="AF6" t="str">
        <f t="shared" si="4"/>
        <v>1 +/-  3.42</v>
      </c>
      <c r="AG6">
        <v>0.53589743589743599</v>
      </c>
      <c r="AH6">
        <v>0.43458069016483802</v>
      </c>
      <c r="AI6">
        <v>0</v>
      </c>
      <c r="AJ6">
        <v>0.94871794871794901</v>
      </c>
      <c r="AK6">
        <v>0.355801286134657</v>
      </c>
      <c r="AL6" t="str">
        <f t="shared" si="5"/>
        <v>53.59 +/-  35.58</v>
      </c>
      <c r="AM6">
        <v>196</v>
      </c>
      <c r="AN6">
        <v>10.3321033210332</v>
      </c>
      <c r="AO6">
        <f t="shared" si="6"/>
        <v>10.33</v>
      </c>
    </row>
    <row r="7" spans="1:41" x14ac:dyDescent="0.2">
      <c r="A7">
        <v>6</v>
      </c>
      <c r="B7" t="s">
        <v>38</v>
      </c>
      <c r="C7">
        <v>-21</v>
      </c>
      <c r="D7">
        <v>-28.1608695652174</v>
      </c>
      <c r="E7">
        <v>-157</v>
      </c>
      <c r="F7">
        <v>4</v>
      </c>
      <c r="G7">
        <v>25.283289942811201</v>
      </c>
      <c r="H7" t="str">
        <f t="shared" si="0"/>
        <v>-21 +/-  25.28</v>
      </c>
      <c r="I7">
        <v>6</v>
      </c>
      <c r="J7">
        <v>8.8043478260869605</v>
      </c>
      <c r="K7">
        <v>2</v>
      </c>
      <c r="L7">
        <v>73</v>
      </c>
      <c r="M7">
        <v>8.4383703729439201</v>
      </c>
      <c r="N7" t="str">
        <f t="shared" si="1"/>
        <v>6 +/-  8.44</v>
      </c>
      <c r="O7">
        <v>18</v>
      </c>
      <c r="P7">
        <v>48.341464347826097</v>
      </c>
      <c r="Q7">
        <v>1.5</v>
      </c>
      <c r="R7">
        <v>436</v>
      </c>
      <c r="S7">
        <v>66.6019918880163</v>
      </c>
      <c r="T7" t="str">
        <f t="shared" si="2"/>
        <v>18 +/-  66.6</v>
      </c>
      <c r="U7">
        <v>146</v>
      </c>
      <c r="V7">
        <v>156.804347826087</v>
      </c>
      <c r="W7">
        <v>3</v>
      </c>
      <c r="X7">
        <v>496</v>
      </c>
      <c r="Y7">
        <v>106.14327047663799</v>
      </c>
      <c r="Z7" t="str">
        <f t="shared" si="3"/>
        <v>146 +/-  106.14</v>
      </c>
      <c r="AA7">
        <v>1</v>
      </c>
      <c r="AB7">
        <v>1.1217391304347799</v>
      </c>
      <c r="AC7">
        <v>0</v>
      </c>
      <c r="AD7">
        <v>13</v>
      </c>
      <c r="AE7">
        <v>1.81284994133984</v>
      </c>
      <c r="AF7" t="str">
        <f t="shared" si="4"/>
        <v>1 +/-  1.81</v>
      </c>
      <c r="AG7">
        <v>0.14835164835164799</v>
      </c>
      <c r="AH7">
        <v>0.32273015994882298</v>
      </c>
      <c r="AI7">
        <v>0</v>
      </c>
      <c r="AJ7">
        <v>0.95454545454545503</v>
      </c>
      <c r="AK7">
        <v>0.35918416019211402</v>
      </c>
      <c r="AL7" t="str">
        <f t="shared" si="5"/>
        <v>14.84 +/-  35.92</v>
      </c>
      <c r="AM7">
        <v>230</v>
      </c>
      <c r="AN7">
        <v>12.1244069583553</v>
      </c>
      <c r="AO7">
        <f t="shared" si="6"/>
        <v>12.12</v>
      </c>
    </row>
    <row r="8" spans="1:41" x14ac:dyDescent="0.2">
      <c r="A8">
        <v>7</v>
      </c>
      <c r="B8" t="s">
        <v>39</v>
      </c>
      <c r="C8">
        <v>-16</v>
      </c>
      <c r="D8">
        <v>-28.1413043478261</v>
      </c>
      <c r="E8">
        <v>-146</v>
      </c>
      <c r="F8">
        <v>2</v>
      </c>
      <c r="G8">
        <v>31.340589670861998</v>
      </c>
      <c r="H8" t="str">
        <f t="shared" si="0"/>
        <v>-16 +/-  31.34</v>
      </c>
      <c r="I8">
        <v>16</v>
      </c>
      <c r="J8">
        <v>19.326086956521699</v>
      </c>
      <c r="K8">
        <v>4</v>
      </c>
      <c r="L8">
        <v>72</v>
      </c>
      <c r="M8">
        <v>13.180995889981</v>
      </c>
      <c r="N8" t="str">
        <f t="shared" si="1"/>
        <v>16 +/-  13.18</v>
      </c>
      <c r="O8">
        <v>63.001249999999999</v>
      </c>
      <c r="P8">
        <v>75.085885869565203</v>
      </c>
      <c r="Q8">
        <v>6</v>
      </c>
      <c r="R8">
        <v>366</v>
      </c>
      <c r="S8">
        <v>64.634397496854902</v>
      </c>
      <c r="T8" t="str">
        <f t="shared" si="2"/>
        <v>63 +/-  64.63</v>
      </c>
      <c r="U8">
        <v>232.5</v>
      </c>
      <c r="V8">
        <v>233.66304347826099</v>
      </c>
      <c r="W8">
        <v>9</v>
      </c>
      <c r="X8">
        <v>439</v>
      </c>
      <c r="Y8">
        <v>100.40229816269</v>
      </c>
      <c r="Z8" t="str">
        <f t="shared" si="3"/>
        <v>232.5 +/-  100.4</v>
      </c>
      <c r="AA8">
        <v>1</v>
      </c>
      <c r="AB8">
        <v>1.76086956521739</v>
      </c>
      <c r="AC8">
        <v>0</v>
      </c>
      <c r="AD8">
        <v>7</v>
      </c>
      <c r="AE8">
        <v>1.79969206900496</v>
      </c>
      <c r="AF8" t="str">
        <f t="shared" si="4"/>
        <v>1 +/-  1.8</v>
      </c>
      <c r="AG8">
        <v>0.36237373737373701</v>
      </c>
      <c r="AH8">
        <v>0.34510802511287297</v>
      </c>
      <c r="AI8">
        <v>0</v>
      </c>
      <c r="AJ8">
        <v>0.891891891891892</v>
      </c>
      <c r="AK8">
        <v>0.29037036369739699</v>
      </c>
      <c r="AL8" t="str">
        <f t="shared" si="5"/>
        <v>36.24 +/-  29.04</v>
      </c>
      <c r="AM8">
        <v>92</v>
      </c>
      <c r="AN8">
        <v>4.8497627833421202</v>
      </c>
      <c r="AO8">
        <f t="shared" si="6"/>
        <v>4.8499999999999996</v>
      </c>
    </row>
    <row r="9" spans="1:41" x14ac:dyDescent="0.2">
      <c r="A9">
        <v>8</v>
      </c>
      <c r="B9" t="s">
        <v>40</v>
      </c>
      <c r="C9">
        <v>-20</v>
      </c>
      <c r="D9">
        <v>-29.154285714285699</v>
      </c>
      <c r="E9">
        <v>-270</v>
      </c>
      <c r="F9">
        <v>0</v>
      </c>
      <c r="G9">
        <v>34.797182000921502</v>
      </c>
      <c r="H9" t="str">
        <f t="shared" si="0"/>
        <v>-20 +/-  34.8</v>
      </c>
      <c r="I9">
        <v>7</v>
      </c>
      <c r="J9">
        <v>9.8285714285714292</v>
      </c>
      <c r="K9">
        <v>2</v>
      </c>
      <c r="L9">
        <v>61</v>
      </c>
      <c r="M9">
        <v>9.33441818701003</v>
      </c>
      <c r="N9" t="str">
        <f t="shared" si="1"/>
        <v>7 +/-  9.33</v>
      </c>
      <c r="O9">
        <v>22</v>
      </c>
      <c r="P9">
        <v>46.091081142857099</v>
      </c>
      <c r="Q9">
        <v>1.9833000000000001</v>
      </c>
      <c r="R9">
        <v>280.01670000000001</v>
      </c>
      <c r="S9">
        <v>54.242026619252698</v>
      </c>
      <c r="T9" t="str">
        <f t="shared" si="2"/>
        <v>22 +/-  54.24</v>
      </c>
      <c r="U9">
        <v>141</v>
      </c>
      <c r="V9">
        <v>148.73142857142901</v>
      </c>
      <c r="W9">
        <v>4</v>
      </c>
      <c r="X9">
        <v>510</v>
      </c>
      <c r="Y9">
        <v>95.923831646950504</v>
      </c>
      <c r="Z9" t="str">
        <f t="shared" si="3"/>
        <v>141 +/-  95.92</v>
      </c>
      <c r="AA9">
        <v>0</v>
      </c>
      <c r="AB9">
        <v>1.02857142857143</v>
      </c>
      <c r="AC9">
        <v>0</v>
      </c>
      <c r="AD9">
        <v>11</v>
      </c>
      <c r="AE9">
        <v>1.62391810643898</v>
      </c>
      <c r="AF9" t="str">
        <f t="shared" si="4"/>
        <v>0 +/-  1.62</v>
      </c>
      <c r="AG9">
        <v>0</v>
      </c>
      <c r="AH9">
        <v>0.31453757866800303</v>
      </c>
      <c r="AI9">
        <v>0</v>
      </c>
      <c r="AJ9">
        <v>0.95652173913043503</v>
      </c>
      <c r="AK9">
        <v>0.35798466882763302</v>
      </c>
      <c r="AL9" t="str">
        <f t="shared" si="5"/>
        <v>0 +/-  35.8</v>
      </c>
      <c r="AM9">
        <v>175</v>
      </c>
      <c r="AN9">
        <v>9.2250922509225095</v>
      </c>
      <c r="AO9">
        <f t="shared" si="6"/>
        <v>9.23</v>
      </c>
    </row>
    <row r="10" spans="1:41" x14ac:dyDescent="0.2">
      <c r="A10">
        <v>9</v>
      </c>
      <c r="B10" t="s">
        <v>41</v>
      </c>
      <c r="C10">
        <v>-18.5</v>
      </c>
      <c r="D10">
        <v>-28.4375</v>
      </c>
      <c r="E10">
        <v>-148</v>
      </c>
      <c r="F10">
        <v>0</v>
      </c>
      <c r="G10">
        <v>30.446958587583801</v>
      </c>
      <c r="H10" t="str">
        <f t="shared" si="0"/>
        <v>-18.5 +/-  30.45</v>
      </c>
      <c r="I10">
        <v>13</v>
      </c>
      <c r="J10">
        <v>18.2083333333333</v>
      </c>
      <c r="K10">
        <v>2</v>
      </c>
      <c r="L10">
        <v>66</v>
      </c>
      <c r="M10">
        <v>15.685687110925199</v>
      </c>
      <c r="N10" t="str">
        <f t="shared" si="1"/>
        <v>13 +/-  15.69</v>
      </c>
      <c r="O10">
        <v>47</v>
      </c>
      <c r="P10">
        <v>76.024062499999999</v>
      </c>
      <c r="Q10">
        <v>4</v>
      </c>
      <c r="R10">
        <v>450</v>
      </c>
      <c r="S10">
        <v>78.916194369277804</v>
      </c>
      <c r="T10" t="str">
        <f t="shared" si="2"/>
        <v>47 +/-  78.92</v>
      </c>
      <c r="U10">
        <v>210.5</v>
      </c>
      <c r="V10">
        <v>209.4375</v>
      </c>
      <c r="W10">
        <v>22</v>
      </c>
      <c r="X10">
        <v>523</v>
      </c>
      <c r="Y10">
        <v>121.913974946411</v>
      </c>
      <c r="Z10" t="str">
        <f t="shared" si="3"/>
        <v>210.5 +/-  121.91</v>
      </c>
      <c r="AA10">
        <v>1.5</v>
      </c>
      <c r="AB10">
        <v>2.25</v>
      </c>
      <c r="AC10">
        <v>0</v>
      </c>
      <c r="AD10">
        <v>17</v>
      </c>
      <c r="AE10">
        <v>3.0492412729112699</v>
      </c>
      <c r="AF10" t="str">
        <f t="shared" si="4"/>
        <v>1.5 +/-  3.05</v>
      </c>
      <c r="AG10">
        <v>0.224080267558529</v>
      </c>
      <c r="AH10">
        <v>0.36152828642388002</v>
      </c>
      <c r="AI10">
        <v>0</v>
      </c>
      <c r="AJ10">
        <v>0.93442622950819698</v>
      </c>
      <c r="AK10">
        <v>0.31920405074217401</v>
      </c>
      <c r="AL10" t="str">
        <f t="shared" si="5"/>
        <v>22.41 +/-  31.92</v>
      </c>
      <c r="AM10">
        <v>48</v>
      </c>
      <c r="AN10">
        <v>2.5303110173958898</v>
      </c>
      <c r="AO10">
        <f t="shared" si="6"/>
        <v>2.5299999999999998</v>
      </c>
    </row>
    <row r="11" spans="1:41" x14ac:dyDescent="0.2">
      <c r="A11">
        <v>10</v>
      </c>
      <c r="B11" t="s">
        <v>42</v>
      </c>
      <c r="C11">
        <v>-30</v>
      </c>
      <c r="D11">
        <v>-46.104761904761901</v>
      </c>
      <c r="E11">
        <v>-175</v>
      </c>
      <c r="F11">
        <v>37</v>
      </c>
      <c r="G11">
        <v>47.1262469350483</v>
      </c>
      <c r="H11" t="str">
        <f t="shared" si="0"/>
        <v>-30 +/-  47.13</v>
      </c>
      <c r="I11">
        <v>27</v>
      </c>
      <c r="J11">
        <v>54.371428571428602</v>
      </c>
      <c r="K11">
        <v>2</v>
      </c>
      <c r="L11">
        <v>260</v>
      </c>
      <c r="M11">
        <v>60.506874552664399</v>
      </c>
      <c r="N11" t="str">
        <f t="shared" si="1"/>
        <v>27 +/-  60.51</v>
      </c>
      <c r="O11">
        <v>182</v>
      </c>
      <c r="P11">
        <v>277.11928761904801</v>
      </c>
      <c r="Q11">
        <v>2</v>
      </c>
      <c r="R11">
        <v>1345.5</v>
      </c>
      <c r="S11">
        <v>288.61910240332298</v>
      </c>
      <c r="T11" t="str">
        <f t="shared" si="2"/>
        <v>182 +/-  288.62</v>
      </c>
      <c r="U11">
        <v>241</v>
      </c>
      <c r="V11">
        <v>232.81904761904801</v>
      </c>
      <c r="W11">
        <v>15</v>
      </c>
      <c r="X11">
        <v>489</v>
      </c>
      <c r="Y11">
        <v>116.655540024103</v>
      </c>
      <c r="Z11" t="str">
        <f t="shared" si="3"/>
        <v>241 +/-  116.66</v>
      </c>
      <c r="AA11">
        <v>5</v>
      </c>
      <c r="AB11">
        <v>8.7238095238095195</v>
      </c>
      <c r="AC11">
        <v>0</v>
      </c>
      <c r="AD11">
        <v>40</v>
      </c>
      <c r="AE11">
        <v>9.4375429067748406</v>
      </c>
      <c r="AF11" t="str">
        <f t="shared" si="4"/>
        <v>5 +/-  9.44</v>
      </c>
      <c r="AG11">
        <v>0.52941176470588203</v>
      </c>
      <c r="AH11">
        <v>0.46972629808999899</v>
      </c>
      <c r="AI11">
        <v>0</v>
      </c>
      <c r="AJ11">
        <v>0.87969924812030098</v>
      </c>
      <c r="AK11">
        <v>0.27100413123238698</v>
      </c>
      <c r="AL11" t="str">
        <f t="shared" si="5"/>
        <v>52.94 +/-  27.1</v>
      </c>
      <c r="AM11">
        <v>105</v>
      </c>
      <c r="AN11">
        <v>5.5350553505534998</v>
      </c>
      <c r="AO11">
        <f t="shared" si="6"/>
        <v>5.54</v>
      </c>
    </row>
    <row r="12" spans="1:41" x14ac:dyDescent="0.2">
      <c r="A12">
        <v>11</v>
      </c>
      <c r="B12" t="s">
        <v>43</v>
      </c>
      <c r="C12">
        <v>-47</v>
      </c>
      <c r="D12">
        <v>-58.733333333333299</v>
      </c>
      <c r="E12">
        <v>-169</v>
      </c>
      <c r="F12">
        <v>-3</v>
      </c>
      <c r="G12">
        <v>51.561100904041801</v>
      </c>
      <c r="H12" t="str">
        <f t="shared" si="0"/>
        <v>-47 +/-  51.56</v>
      </c>
      <c r="I12">
        <v>22.5</v>
      </c>
      <c r="J12">
        <v>40</v>
      </c>
      <c r="K12">
        <v>3</v>
      </c>
      <c r="L12">
        <v>130</v>
      </c>
      <c r="M12">
        <v>36.9080871429518</v>
      </c>
      <c r="N12" t="str">
        <f t="shared" si="1"/>
        <v>22.5 +/-  36.91</v>
      </c>
      <c r="O12">
        <v>167.00835000000001</v>
      </c>
      <c r="P12">
        <v>217.28424999999999</v>
      </c>
      <c r="Q12">
        <v>4</v>
      </c>
      <c r="R12">
        <v>656</v>
      </c>
      <c r="S12">
        <v>189.30427304606101</v>
      </c>
      <c r="T12" t="str">
        <f t="shared" si="2"/>
        <v>167.01 +/-  189.3</v>
      </c>
      <c r="U12">
        <v>276</v>
      </c>
      <c r="V12">
        <v>255.2</v>
      </c>
      <c r="W12">
        <v>69</v>
      </c>
      <c r="X12">
        <v>488</v>
      </c>
      <c r="Y12">
        <v>116.080946786699</v>
      </c>
      <c r="Z12" t="str">
        <f t="shared" si="3"/>
        <v>276 +/-  116.08</v>
      </c>
      <c r="AA12">
        <v>5</v>
      </c>
      <c r="AB12">
        <v>7.1</v>
      </c>
      <c r="AC12">
        <v>0</v>
      </c>
      <c r="AD12">
        <v>20</v>
      </c>
      <c r="AE12">
        <v>6.5091447608146904</v>
      </c>
      <c r="AF12" t="str">
        <f t="shared" si="4"/>
        <v>5 +/-  6.51</v>
      </c>
      <c r="AG12">
        <v>0.58365943945002696</v>
      </c>
      <c r="AH12">
        <v>0.49848738771527801</v>
      </c>
      <c r="AI12">
        <v>0</v>
      </c>
      <c r="AJ12">
        <v>0.92307692307692302</v>
      </c>
      <c r="AK12">
        <v>0.30168596592712699</v>
      </c>
      <c r="AL12" t="str">
        <f t="shared" si="5"/>
        <v>58.37 +/-  30.17</v>
      </c>
      <c r="AM12">
        <v>30</v>
      </c>
      <c r="AN12">
        <v>1.5814443858724301</v>
      </c>
      <c r="AO12">
        <f t="shared" si="6"/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gha26_inv2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Marie Prokopenko</cp:lastModifiedBy>
  <dcterms:created xsi:type="dcterms:W3CDTF">2025-08-29T02:36:00Z</dcterms:created>
  <dcterms:modified xsi:type="dcterms:W3CDTF">2026-02-14T23:12:18Z</dcterms:modified>
</cp:coreProperties>
</file>